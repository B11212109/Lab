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\震盪子_Code\"/>
    </mc:Choice>
  </mc:AlternateContent>
  <xr:revisionPtr revIDLastSave="0" documentId="13_ncr:1_{B97B7A9E-FCFB-41C6-AF72-1EE7108DCBD3}" xr6:coauthVersionLast="47" xr6:coauthVersionMax="47" xr10:uidLastSave="{00000000-0000-0000-0000-000000000000}"/>
  <bookViews>
    <workbookView xWindow="-108" yWindow="-108" windowWidth="23256" windowHeight="12456" xr2:uid="{1281A5CA-F2F9-441D-86CA-A14AEC0377E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3" i="1" l="1"/>
  <c r="AT4" i="1"/>
  <c r="AT5" i="1"/>
  <c r="AT6" i="1"/>
  <c r="AT7" i="1"/>
  <c r="AT8" i="1"/>
  <c r="AT9" i="1"/>
  <c r="AT10" i="1"/>
  <c r="AT11" i="1"/>
  <c r="AT2" i="1"/>
  <c r="AS3" i="1"/>
  <c r="AS4" i="1"/>
  <c r="AS5" i="1"/>
  <c r="AS6" i="1"/>
  <c r="AS7" i="1"/>
  <c r="AS8" i="1"/>
  <c r="AS9" i="1"/>
  <c r="AS10" i="1"/>
  <c r="AS11" i="1"/>
  <c r="AS2" i="1"/>
  <c r="AR3" i="1"/>
  <c r="AR4" i="1"/>
  <c r="AR5" i="1"/>
  <c r="AR6" i="1"/>
  <c r="AR7" i="1"/>
  <c r="AR8" i="1"/>
  <c r="AR9" i="1"/>
  <c r="AR10" i="1"/>
  <c r="AR11" i="1"/>
  <c r="AR2" i="1"/>
  <c r="AP3" i="1"/>
  <c r="AO381" i="1" s="1"/>
  <c r="I131" i="1"/>
  <c r="H131" i="1"/>
  <c r="AO271" i="1" l="1"/>
  <c r="AO372" i="1"/>
  <c r="AO340" i="1"/>
  <c r="AV340" i="1" s="1" a="1"/>
  <c r="AV340" i="1" s="1"/>
  <c r="AO308" i="1"/>
  <c r="AO260" i="1"/>
  <c r="AO212" i="1"/>
  <c r="AO196" i="1"/>
  <c r="AO148" i="1"/>
  <c r="AO100" i="1"/>
  <c r="AO84" i="1"/>
  <c r="AO36" i="1"/>
  <c r="AO371" i="1"/>
  <c r="AO339" i="1"/>
  <c r="AO307" i="1"/>
  <c r="AO291" i="1"/>
  <c r="AU291" i="1" s="1" a="1"/>
  <c r="AU291" i="1" s="1"/>
  <c r="AO259" i="1"/>
  <c r="AO243" i="1"/>
  <c r="AV243" i="1" s="1" a="1"/>
  <c r="AV243" i="1" s="1"/>
  <c r="AO227" i="1"/>
  <c r="AO211" i="1"/>
  <c r="AO195" i="1"/>
  <c r="AO179" i="1"/>
  <c r="AO163" i="1"/>
  <c r="AO147" i="1"/>
  <c r="AO131" i="1"/>
  <c r="AO115" i="1"/>
  <c r="AO99" i="1"/>
  <c r="AO83" i="1"/>
  <c r="AO67" i="1"/>
  <c r="AO51" i="1"/>
  <c r="AO35" i="1"/>
  <c r="AU35" i="1" s="1" a="1"/>
  <c r="AU35" i="1" s="1"/>
  <c r="AO19" i="1"/>
  <c r="AV19" i="1" s="1" a="1"/>
  <c r="AV19" i="1" s="1"/>
  <c r="AO3" i="1"/>
  <c r="AO367" i="1"/>
  <c r="AV367" i="1" s="1" a="1"/>
  <c r="AV367" i="1" s="1"/>
  <c r="AO324" i="1"/>
  <c r="AO276" i="1"/>
  <c r="AO244" i="1"/>
  <c r="AO180" i="1"/>
  <c r="AO132" i="1"/>
  <c r="AO68" i="1"/>
  <c r="AO20" i="1"/>
  <c r="AO355" i="1"/>
  <c r="AV355" i="1" s="1" a="1"/>
  <c r="AV355" i="1" s="1"/>
  <c r="AO323" i="1"/>
  <c r="AO275" i="1"/>
  <c r="AU275" i="1" s="1" a="1"/>
  <c r="AU275" i="1" s="1"/>
  <c r="AO370" i="1"/>
  <c r="AO354" i="1"/>
  <c r="AO338" i="1"/>
  <c r="AO322" i="1"/>
  <c r="AV322" i="1" s="1" a="1"/>
  <c r="AV322" i="1" s="1"/>
  <c r="AO306" i="1"/>
  <c r="AO290" i="1"/>
  <c r="AV290" i="1" s="1" a="1"/>
  <c r="AV290" i="1" s="1"/>
  <c r="AO274" i="1"/>
  <c r="AO258" i="1"/>
  <c r="AO242" i="1"/>
  <c r="AO226" i="1"/>
  <c r="AV226" i="1" s="1" a="1"/>
  <c r="AV226" i="1" s="1"/>
  <c r="AO210" i="1"/>
  <c r="AO194" i="1"/>
  <c r="AO178" i="1"/>
  <c r="AO162" i="1"/>
  <c r="AU162" i="1" s="1" a="1"/>
  <c r="AU162" i="1" s="1"/>
  <c r="AO146" i="1"/>
  <c r="AO130" i="1"/>
  <c r="AO114" i="1"/>
  <c r="AO98" i="1"/>
  <c r="AV98" i="1" s="1" a="1"/>
  <c r="AV98" i="1" s="1"/>
  <c r="AO82" i="1"/>
  <c r="AO66" i="1"/>
  <c r="AU66" i="1" s="1" a="1"/>
  <c r="AU66" i="1" s="1"/>
  <c r="AO50" i="1"/>
  <c r="AO34" i="1"/>
  <c r="AU34" i="1" s="1" a="1"/>
  <c r="AU34" i="1" s="1"/>
  <c r="AO18" i="1"/>
  <c r="AO337" i="1"/>
  <c r="AO305" i="1"/>
  <c r="AO273" i="1"/>
  <c r="AO241" i="1"/>
  <c r="AO209" i="1"/>
  <c r="AO161" i="1"/>
  <c r="AO81" i="1"/>
  <c r="AO369" i="1"/>
  <c r="AV369" i="1" s="1" a="1"/>
  <c r="AV369" i="1" s="1"/>
  <c r="AO353" i="1"/>
  <c r="AO321" i="1"/>
  <c r="AO289" i="1"/>
  <c r="AU289" i="1" s="1" a="1"/>
  <c r="AU289" i="1" s="1"/>
  <c r="AO257" i="1"/>
  <c r="AO225" i="1"/>
  <c r="AU225" i="1" s="1" a="1"/>
  <c r="AU225" i="1" s="1"/>
  <c r="AO193" i="1"/>
  <c r="AO177" i="1"/>
  <c r="AV177" i="1" s="1" a="1"/>
  <c r="AV177" i="1" s="1"/>
  <c r="AO145" i="1"/>
  <c r="AO129" i="1"/>
  <c r="AO113" i="1"/>
  <c r="AO97" i="1"/>
  <c r="AO65" i="1"/>
  <c r="AO49" i="1"/>
  <c r="AO33" i="1"/>
  <c r="AO17" i="1"/>
  <c r="AO368" i="1"/>
  <c r="AO352" i="1"/>
  <c r="AO336" i="1"/>
  <c r="AO320" i="1"/>
  <c r="AO304" i="1"/>
  <c r="AO288" i="1"/>
  <c r="AU288" i="1" s="1" a="1"/>
  <c r="AU288" i="1" s="1"/>
  <c r="AO272" i="1"/>
  <c r="AO256" i="1"/>
  <c r="AU256" i="1" s="1" a="1"/>
  <c r="AU256" i="1" s="1"/>
  <c r="AO240" i="1"/>
  <c r="AV240" i="1" s="1" a="1"/>
  <c r="AV240" i="1" s="1"/>
  <c r="AO224" i="1"/>
  <c r="AO208" i="1"/>
  <c r="AO192" i="1"/>
  <c r="AO176" i="1"/>
  <c r="AO160" i="1"/>
  <c r="AO144" i="1"/>
  <c r="AO128" i="1"/>
  <c r="AO112" i="1"/>
  <c r="AV112" i="1" s="1" a="1"/>
  <c r="AV112" i="1" s="1"/>
  <c r="AO96" i="1"/>
  <c r="AO80" i="1"/>
  <c r="AO64" i="1"/>
  <c r="AO48" i="1"/>
  <c r="AU48" i="1" s="1" a="1"/>
  <c r="AU48" i="1" s="1"/>
  <c r="AO32" i="1"/>
  <c r="AU32" i="1" s="1" a="1"/>
  <c r="AU32" i="1" s="1"/>
  <c r="AO16" i="1"/>
  <c r="AO319" i="1"/>
  <c r="AO223" i="1"/>
  <c r="AO159" i="1"/>
  <c r="AO111" i="1"/>
  <c r="AO63" i="1"/>
  <c r="AO31" i="1"/>
  <c r="AO366" i="1"/>
  <c r="AO302" i="1"/>
  <c r="AU302" i="1" s="1" a="1"/>
  <c r="AU302" i="1" s="1"/>
  <c r="AO238" i="1"/>
  <c r="AO206" i="1"/>
  <c r="AO158" i="1"/>
  <c r="AO126" i="1"/>
  <c r="AV126" i="1" s="1" a="1"/>
  <c r="AV126" i="1" s="1"/>
  <c r="AO110" i="1"/>
  <c r="AO94" i="1"/>
  <c r="AU94" i="1" s="1" a="1"/>
  <c r="AU94" i="1" s="1"/>
  <c r="AO78" i="1"/>
  <c r="AO62" i="1"/>
  <c r="AU62" i="1" s="1" a="1"/>
  <c r="AU62" i="1" s="1"/>
  <c r="AO46" i="1"/>
  <c r="AO30" i="1"/>
  <c r="AO14" i="1"/>
  <c r="AO2" i="1"/>
  <c r="AU2" i="1" s="1" a="1"/>
  <c r="AU2" i="1" s="1"/>
  <c r="AO365" i="1"/>
  <c r="AO349" i="1"/>
  <c r="AO333" i="1"/>
  <c r="AO317" i="1"/>
  <c r="AU317" i="1" s="1" a="1"/>
  <c r="AU317" i="1" s="1"/>
  <c r="AO301" i="1"/>
  <c r="AU301" i="1" s="1" a="1"/>
  <c r="AU301" i="1" s="1"/>
  <c r="AO285" i="1"/>
  <c r="AO269" i="1"/>
  <c r="AO253" i="1"/>
  <c r="AO237" i="1"/>
  <c r="AO221" i="1"/>
  <c r="AV221" i="1" s="1" a="1"/>
  <c r="AV221" i="1" s="1"/>
  <c r="AO205" i="1"/>
  <c r="AO189" i="1"/>
  <c r="AV189" i="1" s="1" a="1"/>
  <c r="AV189" i="1" s="1"/>
  <c r="AO173" i="1"/>
  <c r="AO157" i="1"/>
  <c r="AO141" i="1"/>
  <c r="AO125" i="1"/>
  <c r="AO109" i="1"/>
  <c r="AO93" i="1"/>
  <c r="AO77" i="1"/>
  <c r="AO61" i="1"/>
  <c r="AO45" i="1"/>
  <c r="AO29" i="1"/>
  <c r="AO13" i="1"/>
  <c r="AO318" i="1"/>
  <c r="AO254" i="1"/>
  <c r="AV254" i="1" s="1" a="1"/>
  <c r="AV254" i="1" s="1"/>
  <c r="AO190" i="1"/>
  <c r="AV190" i="1" s="1" a="1"/>
  <c r="AV190" i="1" s="1"/>
  <c r="AO380" i="1"/>
  <c r="AO348" i="1"/>
  <c r="AV348" i="1" s="1" a="1"/>
  <c r="AV348" i="1" s="1"/>
  <c r="AO332" i="1"/>
  <c r="AO316" i="1"/>
  <c r="AO300" i="1"/>
  <c r="AO284" i="1"/>
  <c r="AO268" i="1"/>
  <c r="AO252" i="1"/>
  <c r="AO236" i="1"/>
  <c r="AO220" i="1"/>
  <c r="AO204" i="1"/>
  <c r="AU204" i="1" s="1" a="1"/>
  <c r="AU204" i="1" s="1"/>
  <c r="AO188" i="1"/>
  <c r="AO172" i="1"/>
  <c r="AO156" i="1"/>
  <c r="AO140" i="1"/>
  <c r="AV140" i="1" s="1" a="1"/>
  <c r="AV140" i="1" s="1"/>
  <c r="AO124" i="1"/>
  <c r="AU124" i="1" s="1" a="1"/>
  <c r="AU124" i="1" s="1"/>
  <c r="AO108" i="1"/>
  <c r="AO92" i="1"/>
  <c r="AV92" i="1" s="1" a="1"/>
  <c r="AV92" i="1" s="1"/>
  <c r="AO76" i="1"/>
  <c r="AO60" i="1"/>
  <c r="AO44" i="1"/>
  <c r="AO28" i="1"/>
  <c r="AO12" i="1"/>
  <c r="AO351" i="1"/>
  <c r="AO239" i="1"/>
  <c r="AO143" i="1"/>
  <c r="AO95" i="1"/>
  <c r="AO15" i="1"/>
  <c r="AO350" i="1"/>
  <c r="AO286" i="1"/>
  <c r="AU286" i="1" s="1" a="1"/>
  <c r="AU286" i="1" s="1"/>
  <c r="AO222" i="1"/>
  <c r="AO142" i="1"/>
  <c r="AV142" i="1" s="1" a="1"/>
  <c r="AV142" i="1" s="1"/>
  <c r="AO379" i="1"/>
  <c r="AO347" i="1"/>
  <c r="AV347" i="1" s="1" a="1"/>
  <c r="AV347" i="1" s="1"/>
  <c r="AO315" i="1"/>
  <c r="AO283" i="1"/>
  <c r="AV283" i="1" s="1" a="1"/>
  <c r="AV283" i="1" s="1"/>
  <c r="AO251" i="1"/>
  <c r="AO219" i="1"/>
  <c r="AO187" i="1"/>
  <c r="AO155" i="1"/>
  <c r="AV155" i="1" s="1" a="1"/>
  <c r="AV155" i="1" s="1"/>
  <c r="AO123" i="1"/>
  <c r="AO91" i="1"/>
  <c r="AU91" i="1" s="1" a="1"/>
  <c r="AU91" i="1" s="1"/>
  <c r="AO59" i="1"/>
  <c r="AO11" i="1"/>
  <c r="AU11" i="1" s="1" a="1"/>
  <c r="AU11" i="1" s="1"/>
  <c r="AO378" i="1"/>
  <c r="AO346" i="1"/>
  <c r="AU346" i="1" s="1" a="1"/>
  <c r="AU346" i="1" s="1"/>
  <c r="AO314" i="1"/>
  <c r="AU314" i="1" s="1" a="1"/>
  <c r="AU314" i="1" s="1"/>
  <c r="AO282" i="1"/>
  <c r="AU282" i="1" s="1" a="1"/>
  <c r="AU282" i="1" s="1"/>
  <c r="AO250" i="1"/>
  <c r="AO234" i="1"/>
  <c r="AU234" i="1" s="1" a="1"/>
  <c r="AU234" i="1" s="1"/>
  <c r="AO218" i="1"/>
  <c r="AO202" i="1"/>
  <c r="AO186" i="1"/>
  <c r="AO170" i="1"/>
  <c r="AO154" i="1"/>
  <c r="AO138" i="1"/>
  <c r="AO122" i="1"/>
  <c r="AO106" i="1"/>
  <c r="AO90" i="1"/>
  <c r="AU90" i="1" s="1" a="1"/>
  <c r="AU90" i="1" s="1"/>
  <c r="AO74" i="1"/>
  <c r="AO58" i="1"/>
  <c r="AO42" i="1"/>
  <c r="AV42" i="1" s="1" a="1"/>
  <c r="AV42" i="1" s="1"/>
  <c r="AO26" i="1"/>
  <c r="AO10" i="1"/>
  <c r="AV10" i="1" s="1" a="1"/>
  <c r="AV10" i="1" s="1"/>
  <c r="AO377" i="1"/>
  <c r="AO361" i="1"/>
  <c r="AU361" i="1" s="1" a="1"/>
  <c r="AU361" i="1" s="1"/>
  <c r="AO345" i="1"/>
  <c r="AO329" i="1"/>
  <c r="AO313" i="1"/>
  <c r="AO297" i="1"/>
  <c r="AO281" i="1"/>
  <c r="AO265" i="1"/>
  <c r="AO249" i="1"/>
  <c r="AO233" i="1"/>
  <c r="AU233" i="1" s="1" a="1"/>
  <c r="AU233" i="1" s="1"/>
  <c r="AO217" i="1"/>
  <c r="AO201" i="1"/>
  <c r="AO185" i="1"/>
  <c r="AO169" i="1"/>
  <c r="AV169" i="1" s="1" a="1"/>
  <c r="AV169" i="1" s="1"/>
  <c r="AO153" i="1"/>
  <c r="AV153" i="1" s="1" a="1"/>
  <c r="AV153" i="1" s="1"/>
  <c r="AO137" i="1"/>
  <c r="AU137" i="1" s="1" a="1"/>
  <c r="AU137" i="1" s="1"/>
  <c r="AO121" i="1"/>
  <c r="AO105" i="1"/>
  <c r="AU105" i="1" s="1" a="1"/>
  <c r="AU105" i="1" s="1"/>
  <c r="AO89" i="1"/>
  <c r="AO73" i="1"/>
  <c r="AO57" i="1"/>
  <c r="AO41" i="1"/>
  <c r="AV41" i="1" s="1" a="1"/>
  <c r="AV41" i="1" s="1"/>
  <c r="AO25" i="1"/>
  <c r="AO9" i="1"/>
  <c r="AV9" i="1" s="1" a="1"/>
  <c r="AV9" i="1" s="1"/>
  <c r="AO335" i="1"/>
  <c r="AO255" i="1"/>
  <c r="AO207" i="1"/>
  <c r="AO127" i="1"/>
  <c r="AO79" i="1"/>
  <c r="AO47" i="1"/>
  <c r="AU47" i="1" s="1" a="1"/>
  <c r="AU47" i="1" s="1"/>
  <c r="AO334" i="1"/>
  <c r="AO270" i="1"/>
  <c r="AU270" i="1" s="1" a="1"/>
  <c r="AU270" i="1" s="1"/>
  <c r="AO174" i="1"/>
  <c r="AU174" i="1" s="1" a="1"/>
  <c r="AU174" i="1" s="1"/>
  <c r="AO364" i="1"/>
  <c r="AV364" i="1" s="1" a="1"/>
  <c r="AV364" i="1" s="1"/>
  <c r="AO363" i="1"/>
  <c r="AO331" i="1"/>
  <c r="AO299" i="1"/>
  <c r="AO267" i="1"/>
  <c r="AO235" i="1"/>
  <c r="AO203" i="1"/>
  <c r="AO171" i="1"/>
  <c r="AO139" i="1"/>
  <c r="AO107" i="1"/>
  <c r="AO75" i="1"/>
  <c r="AU75" i="1" s="1" a="1"/>
  <c r="AU75" i="1" s="1"/>
  <c r="AO43" i="1"/>
  <c r="AO27" i="1"/>
  <c r="AV27" i="1" s="1" a="1"/>
  <c r="AV27" i="1" s="1"/>
  <c r="AO362" i="1"/>
  <c r="AO330" i="1"/>
  <c r="AU330" i="1" s="1" a="1"/>
  <c r="AU330" i="1" s="1"/>
  <c r="AO298" i="1"/>
  <c r="AU298" i="1" s="1" a="1"/>
  <c r="AU298" i="1" s="1"/>
  <c r="AO266" i="1"/>
  <c r="AU266" i="1" s="1" a="1"/>
  <c r="AU266" i="1" s="1"/>
  <c r="AO376" i="1"/>
  <c r="AO360" i="1"/>
  <c r="AU360" i="1" s="1" a="1"/>
  <c r="AU360" i="1" s="1"/>
  <c r="AO344" i="1"/>
  <c r="AO328" i="1"/>
  <c r="AO312" i="1"/>
  <c r="AV312" i="1" s="1" a="1"/>
  <c r="AV312" i="1" s="1"/>
  <c r="AO296" i="1"/>
  <c r="AO280" i="1"/>
  <c r="AO264" i="1"/>
  <c r="AO248" i="1"/>
  <c r="AO232" i="1"/>
  <c r="AO216" i="1"/>
  <c r="AO200" i="1"/>
  <c r="AO184" i="1"/>
  <c r="AO168" i="1"/>
  <c r="AV168" i="1" s="1" a="1"/>
  <c r="AV168" i="1" s="1"/>
  <c r="AO152" i="1"/>
  <c r="AV152" i="1" s="1" a="1"/>
  <c r="AV152" i="1" s="1"/>
  <c r="AO136" i="1"/>
  <c r="AV136" i="1" s="1" a="1"/>
  <c r="AV136" i="1" s="1"/>
  <c r="AO120" i="1"/>
  <c r="AO104" i="1"/>
  <c r="AO88" i="1"/>
  <c r="AO72" i="1"/>
  <c r="AO56" i="1"/>
  <c r="AO40" i="1"/>
  <c r="AO24" i="1"/>
  <c r="AO8" i="1"/>
  <c r="AO303" i="1"/>
  <c r="AU303" i="1" s="1" a="1"/>
  <c r="AU303" i="1" s="1"/>
  <c r="AO191" i="1"/>
  <c r="AO375" i="1"/>
  <c r="AO343" i="1"/>
  <c r="AU343" i="1" s="1" a="1"/>
  <c r="AU343" i="1" s="1"/>
  <c r="AO311" i="1"/>
  <c r="AV311" i="1" s="1" a="1"/>
  <c r="AV311" i="1" s="1"/>
  <c r="AO279" i="1"/>
  <c r="AU279" i="1" s="1" a="1"/>
  <c r="AU279" i="1" s="1"/>
  <c r="AO247" i="1"/>
  <c r="AO215" i="1"/>
  <c r="AV215" i="1" s="1" a="1"/>
  <c r="AV215" i="1" s="1"/>
  <c r="AO183" i="1"/>
  <c r="AV183" i="1" s="1" a="1"/>
  <c r="AV183" i="1" s="1"/>
  <c r="AO151" i="1"/>
  <c r="AO119" i="1"/>
  <c r="AO71" i="1"/>
  <c r="AO374" i="1"/>
  <c r="AU374" i="1" s="1" a="1"/>
  <c r="AU374" i="1" s="1"/>
  <c r="AO358" i="1"/>
  <c r="AO342" i="1"/>
  <c r="AO326" i="1"/>
  <c r="AV326" i="1" s="1" a="1"/>
  <c r="AV326" i="1" s="1"/>
  <c r="AO310" i="1"/>
  <c r="AV310" i="1" s="1" a="1"/>
  <c r="AV310" i="1" s="1"/>
  <c r="AO294" i="1"/>
  <c r="AO278" i="1"/>
  <c r="AO262" i="1"/>
  <c r="AO246" i="1"/>
  <c r="AU246" i="1" s="1" a="1"/>
  <c r="AU246" i="1" s="1"/>
  <c r="AO230" i="1"/>
  <c r="AU230" i="1" s="1" a="1"/>
  <c r="AU230" i="1" s="1"/>
  <c r="AO214" i="1"/>
  <c r="AO198" i="1"/>
  <c r="AU198" i="1" s="1" a="1"/>
  <c r="AU198" i="1" s="1"/>
  <c r="AO182" i="1"/>
  <c r="AO166" i="1"/>
  <c r="AO150" i="1"/>
  <c r="AO134" i="1"/>
  <c r="AO118" i="1"/>
  <c r="AO102" i="1"/>
  <c r="AO86" i="1"/>
  <c r="AO70" i="1"/>
  <c r="AO54" i="1"/>
  <c r="AO38" i="1"/>
  <c r="AO22" i="1"/>
  <c r="AU22" i="1" s="1" a="1"/>
  <c r="AU22" i="1" s="1"/>
  <c r="AO6" i="1"/>
  <c r="AO287" i="1"/>
  <c r="AU287" i="1" s="1" a="1"/>
  <c r="AU287" i="1" s="1"/>
  <c r="AO175" i="1"/>
  <c r="AV175" i="1" s="1" a="1"/>
  <c r="AV175" i="1" s="1"/>
  <c r="AO359" i="1"/>
  <c r="AU359" i="1" s="1" a="1"/>
  <c r="AU359" i="1" s="1"/>
  <c r="AO327" i="1"/>
  <c r="AU327" i="1" s="1" a="1"/>
  <c r="AU327" i="1" s="1"/>
  <c r="AO295" i="1"/>
  <c r="AO263" i="1"/>
  <c r="AO231" i="1"/>
  <c r="AO199" i="1"/>
  <c r="AO167" i="1"/>
  <c r="AO135" i="1"/>
  <c r="AO103" i="1"/>
  <c r="AU103" i="1" s="1" a="1"/>
  <c r="AU103" i="1" s="1"/>
  <c r="AO87" i="1"/>
  <c r="AU87" i="1" s="1" a="1"/>
  <c r="AU87" i="1" s="1"/>
  <c r="AO55" i="1"/>
  <c r="AV55" i="1" s="1" a="1"/>
  <c r="AV55" i="1" s="1"/>
  <c r="AO39" i="1"/>
  <c r="AO23" i="1"/>
  <c r="AU23" i="1" s="1" a="1"/>
  <c r="AU23" i="1" s="1"/>
  <c r="AO7" i="1"/>
  <c r="AO373" i="1"/>
  <c r="AU373" i="1" s="1" a="1"/>
  <c r="AU373" i="1" s="1"/>
  <c r="AO357" i="1"/>
  <c r="AU357" i="1" s="1" a="1"/>
  <c r="AU357" i="1" s="1"/>
  <c r="AO341" i="1"/>
  <c r="AU341" i="1" s="1" a="1"/>
  <c r="AU341" i="1" s="1"/>
  <c r="AO325" i="1"/>
  <c r="AV325" i="1" s="1" a="1"/>
  <c r="AV325" i="1" s="1"/>
  <c r="AO309" i="1"/>
  <c r="AO293" i="1"/>
  <c r="AO277" i="1"/>
  <c r="AO261" i="1"/>
  <c r="AO245" i="1"/>
  <c r="AO229" i="1"/>
  <c r="AO213" i="1"/>
  <c r="AO197" i="1"/>
  <c r="AV197" i="1" s="1" a="1"/>
  <c r="AV197" i="1" s="1"/>
  <c r="AO181" i="1"/>
  <c r="AV181" i="1" s="1" a="1"/>
  <c r="AV181" i="1" s="1"/>
  <c r="AO165" i="1"/>
  <c r="AO149" i="1"/>
  <c r="AO133" i="1"/>
  <c r="AO117" i="1"/>
  <c r="AU117" i="1" s="1" a="1"/>
  <c r="AU117" i="1" s="1"/>
  <c r="AO101" i="1"/>
  <c r="AU101" i="1" s="1" a="1"/>
  <c r="AU101" i="1" s="1"/>
  <c r="AO85" i="1"/>
  <c r="AU85" i="1" s="1" a="1"/>
  <c r="AU85" i="1" s="1"/>
  <c r="AO69" i="1"/>
  <c r="AV69" i="1" s="1" a="1"/>
  <c r="AV69" i="1" s="1"/>
  <c r="AO53" i="1"/>
  <c r="AO37" i="1"/>
  <c r="AO21" i="1"/>
  <c r="AO5" i="1"/>
  <c r="AO356" i="1"/>
  <c r="AO292" i="1"/>
  <c r="AO228" i="1"/>
  <c r="AO164" i="1"/>
  <c r="AO116" i="1"/>
  <c r="AO52" i="1"/>
  <c r="AO4" i="1"/>
  <c r="AU147" i="1" a="1"/>
  <c r="AU147" i="1" s="1"/>
  <c r="AU61" i="1" a="1"/>
  <c r="AU61" i="1" s="1"/>
  <c r="AV268" i="1" a="1"/>
  <c r="AV268" i="1" s="1"/>
  <c r="AU161" i="1" a="1"/>
  <c r="AU161" i="1" s="1"/>
  <c r="AU218" i="1" a="1"/>
  <c r="AU218" i="1" s="1"/>
  <c r="AV297" i="1" a="1"/>
  <c r="AV297" i="1" s="1"/>
  <c r="AU104" i="1" a="1"/>
  <c r="AU104" i="1" s="1"/>
  <c r="AU118" i="1" a="1"/>
  <c r="AU118" i="1" s="1"/>
  <c r="AU132" i="1" a="1"/>
  <c r="AU132" i="1" s="1"/>
  <c r="AU12" i="1" a="1"/>
  <c r="AU12" i="1" s="1"/>
  <c r="AV170" i="1" a="1"/>
  <c r="AV170" i="1" s="1"/>
  <c r="AV127" i="1" a="1"/>
  <c r="AV127" i="1" s="1"/>
  <c r="AU318" i="1" a="1"/>
  <c r="AU318" i="1" s="1"/>
  <c r="AV84" i="1" a="1"/>
  <c r="AV84" i="1" s="1"/>
  <c r="AU119" i="1" a="1"/>
  <c r="AU119" i="1" s="1"/>
  <c r="AV15" i="1" a="1"/>
  <c r="AV15" i="1" s="1"/>
  <c r="AV370" i="1" a="1"/>
  <c r="AV370" i="1" s="1"/>
  <c r="AV313" i="1" a="1"/>
  <c r="AV313" i="1" s="1"/>
  <c r="AV269" i="1" a="1"/>
  <c r="AV269" i="1" s="1"/>
  <c r="AV241" i="1" a="1"/>
  <c r="AV241" i="1" s="1"/>
  <c r="AU345" i="1" a="1"/>
  <c r="AU345" i="1" s="1"/>
  <c r="AU331" i="1" a="1"/>
  <c r="AU331" i="1" s="1"/>
  <c r="AU316" i="1" a="1"/>
  <c r="AU316" i="1" s="1"/>
  <c r="AU274" i="1" a="1"/>
  <c r="AU274" i="1" s="1"/>
  <c r="AU245" i="1" a="1"/>
  <c r="AU245" i="1" s="1"/>
  <c r="AU231" i="1" a="1"/>
  <c r="AU231" i="1" s="1"/>
  <c r="AU217" i="1" a="1"/>
  <c r="AU217" i="1" s="1"/>
  <c r="AU203" i="1" a="1"/>
  <c r="AU203" i="1" s="1"/>
  <c r="AU188" i="1" a="1"/>
  <c r="AU188" i="1" s="1"/>
  <c r="AU160" i="1" a="1"/>
  <c r="AU160" i="1" s="1"/>
  <c r="AU146" i="1" a="1"/>
  <c r="AU146" i="1" s="1"/>
  <c r="AU89" i="1" a="1"/>
  <c r="AU89" i="1" s="1"/>
  <c r="AU60" i="1" a="1"/>
  <c r="AU60" i="1" s="1"/>
  <c r="AU381" i="1" a="1"/>
  <c r="AU381" i="1" s="1"/>
  <c r="AV368" i="1" a="1"/>
  <c r="AV368" i="1" s="1"/>
  <c r="AV354" i="1" a="1"/>
  <c r="AV354" i="1" s="1"/>
  <c r="AV296" i="1" a="1"/>
  <c r="AV296" i="1" s="1"/>
  <c r="AV253" i="1" a="1"/>
  <c r="AV253" i="1" s="1"/>
  <c r="AV239" i="1" a="1"/>
  <c r="AV239" i="1" s="1"/>
  <c r="AV211" i="1" a="1"/>
  <c r="AV211" i="1" s="1"/>
  <c r="AV196" i="1" a="1"/>
  <c r="AV196" i="1" s="1"/>
  <c r="AV182" i="1" a="1"/>
  <c r="AV182" i="1" s="1"/>
  <c r="AV154" i="1" a="1"/>
  <c r="AV154" i="1" s="1"/>
  <c r="AV125" i="1" a="1"/>
  <c r="AV125" i="1" s="1"/>
  <c r="AV111" i="1" a="1"/>
  <c r="AV111" i="1" s="1"/>
  <c r="AV97" i="1" a="1"/>
  <c r="AV97" i="1" s="1"/>
  <c r="AV83" i="1" a="1"/>
  <c r="AV83" i="1" s="1"/>
  <c r="AV68" i="1" a="1"/>
  <c r="AV68" i="1" s="1"/>
  <c r="AV54" i="1" a="1"/>
  <c r="AV54" i="1" s="1"/>
  <c r="AV40" i="1" a="1"/>
  <c r="AV40" i="1" s="1"/>
  <c r="AV26" i="1" a="1"/>
  <c r="AV26" i="1" s="1"/>
  <c r="AV14" i="1" a="1"/>
  <c r="AV14" i="1" s="1"/>
  <c r="AV8" i="1" a="1"/>
  <c r="AV8" i="1" s="1"/>
  <c r="AU372" i="1" a="1"/>
  <c r="AU372" i="1" s="1"/>
  <c r="AU358" i="1" a="1"/>
  <c r="AU358" i="1" s="1"/>
  <c r="AU344" i="1" a="1"/>
  <c r="AU344" i="1" s="1"/>
  <c r="AU273" i="1" a="1"/>
  <c r="AU273" i="1" s="1"/>
  <c r="AU259" i="1" a="1"/>
  <c r="AU259" i="1" s="1"/>
  <c r="AU244" i="1" a="1"/>
  <c r="AU244" i="1" s="1"/>
  <c r="AU216" i="1" a="1"/>
  <c r="AU216" i="1" s="1"/>
  <c r="AU202" i="1" a="1"/>
  <c r="AU202" i="1" s="1"/>
  <c r="AU173" i="1" a="1"/>
  <c r="AU173" i="1" s="1"/>
  <c r="AU159" i="1" a="1"/>
  <c r="AU159" i="1" s="1"/>
  <c r="AU145" i="1" a="1"/>
  <c r="AU145" i="1" s="1"/>
  <c r="AU131" i="1" a="1"/>
  <c r="AU131" i="1" s="1"/>
  <c r="AU116" i="1" a="1"/>
  <c r="AU116" i="1" s="1"/>
  <c r="AU102" i="1" a="1"/>
  <c r="AU102" i="1" s="1"/>
  <c r="AU88" i="1" a="1"/>
  <c r="AU88" i="1" s="1"/>
  <c r="AU74" i="1" a="1"/>
  <c r="AU74" i="1" s="1"/>
  <c r="AU46" i="1" a="1"/>
  <c r="AU46" i="1" s="1"/>
  <c r="AV381" i="1" a="1"/>
  <c r="AV381" i="1" s="1"/>
  <c r="AV353" i="1" a="1"/>
  <c r="AV353" i="1" s="1"/>
  <c r="AV339" i="1" a="1"/>
  <c r="AV339" i="1" s="1"/>
  <c r="AV324" i="1" a="1"/>
  <c r="AV324" i="1" s="1"/>
  <c r="AV295" i="1" a="1"/>
  <c r="AV295" i="1" s="1"/>
  <c r="AV281" i="1" a="1"/>
  <c r="AV281" i="1" s="1"/>
  <c r="AV267" i="1" a="1"/>
  <c r="AV267" i="1" s="1"/>
  <c r="AV252" i="1" a="1"/>
  <c r="AV252" i="1" s="1"/>
  <c r="AV238" i="1" a="1"/>
  <c r="AV238" i="1" s="1"/>
  <c r="AV224" i="1" a="1"/>
  <c r="AV224" i="1" s="1"/>
  <c r="AV210" i="1" a="1"/>
  <c r="AV210" i="1" s="1"/>
  <c r="AV167" i="1" a="1"/>
  <c r="AV167" i="1" s="1"/>
  <c r="AV139" i="1" a="1"/>
  <c r="AV139" i="1" s="1"/>
  <c r="AV110" i="1" a="1"/>
  <c r="AV110" i="1" s="1"/>
  <c r="AV96" i="1" a="1"/>
  <c r="AV96" i="1" s="1"/>
  <c r="AV82" i="1" a="1"/>
  <c r="AV82" i="1" s="1"/>
  <c r="AV53" i="1" a="1"/>
  <c r="AV53" i="1" s="1"/>
  <c r="AV39" i="1" a="1"/>
  <c r="AV39" i="1" s="1"/>
  <c r="AV25" i="1" a="1"/>
  <c r="AV25" i="1" s="1"/>
  <c r="AV13" i="1" a="1"/>
  <c r="AV13" i="1" s="1"/>
  <c r="AU329" i="1" a="1"/>
  <c r="AU329" i="1" s="1"/>
  <c r="AU315" i="1" a="1"/>
  <c r="AU315" i="1" s="1"/>
  <c r="AU300" i="1" a="1"/>
  <c r="AU300" i="1" s="1"/>
  <c r="AU272" i="1" a="1"/>
  <c r="AU272" i="1" s="1"/>
  <c r="AU258" i="1" a="1"/>
  <c r="AU258" i="1" s="1"/>
  <c r="AU229" i="1" a="1"/>
  <c r="AU229" i="1" s="1"/>
  <c r="AU201" i="1" a="1"/>
  <c r="AU201" i="1" s="1"/>
  <c r="AU187" i="1" a="1"/>
  <c r="AU187" i="1" s="1"/>
  <c r="AU172" i="1" a="1"/>
  <c r="AU172" i="1" s="1"/>
  <c r="AU158" i="1" a="1"/>
  <c r="AU158" i="1" s="1"/>
  <c r="AU144" i="1" a="1"/>
  <c r="AU144" i="1" s="1"/>
  <c r="AU130" i="1" a="1"/>
  <c r="AU130" i="1" s="1"/>
  <c r="AU73" i="1" a="1"/>
  <c r="AU73" i="1" s="1"/>
  <c r="AU59" i="1" a="1"/>
  <c r="AU59" i="1" s="1"/>
  <c r="AU45" i="1" a="1"/>
  <c r="AU45" i="1" s="1"/>
  <c r="AU33" i="1" a="1"/>
  <c r="AU33" i="1" s="1"/>
  <c r="AU21" i="1" a="1"/>
  <c r="AU21" i="1" s="1"/>
  <c r="AV380" i="1" a="1"/>
  <c r="AV380" i="1" s="1"/>
  <c r="AV366" i="1" a="1"/>
  <c r="AV366" i="1" s="1"/>
  <c r="AV352" i="1" a="1"/>
  <c r="AV352" i="1" s="1"/>
  <c r="AV338" i="1" a="1"/>
  <c r="AV338" i="1" s="1"/>
  <c r="AV309" i="1" a="1"/>
  <c r="AV309" i="1" s="1"/>
  <c r="AV294" i="1" a="1"/>
  <c r="AV294" i="1" s="1"/>
  <c r="AV280" i="1" a="1"/>
  <c r="AV280" i="1" s="1"/>
  <c r="AV237" i="1" a="1"/>
  <c r="AV237" i="1" s="1"/>
  <c r="AV223" i="1" a="1"/>
  <c r="AV223" i="1" s="1"/>
  <c r="AV209" i="1" a="1"/>
  <c r="AV209" i="1" s="1"/>
  <c r="AV195" i="1" a="1"/>
  <c r="AV195" i="1" s="1"/>
  <c r="AV180" i="1" a="1"/>
  <c r="AV180" i="1" s="1"/>
  <c r="AV166" i="1" a="1"/>
  <c r="AV166" i="1" s="1"/>
  <c r="AV138" i="1" a="1"/>
  <c r="AV138" i="1" s="1"/>
  <c r="AV109" i="1" a="1"/>
  <c r="AV109" i="1" s="1"/>
  <c r="AV95" i="1" a="1"/>
  <c r="AV95" i="1" s="1"/>
  <c r="AV81" i="1" a="1"/>
  <c r="AV81" i="1" s="1"/>
  <c r="AV67" i="1" a="1"/>
  <c r="AV67" i="1" s="1"/>
  <c r="AV52" i="1" a="1"/>
  <c r="AV52" i="1" s="1"/>
  <c r="AV38" i="1" a="1"/>
  <c r="AV38" i="1" s="1"/>
  <c r="AV12" i="1" a="1"/>
  <c r="AV12" i="1" s="1"/>
  <c r="AU9" i="1" a="1"/>
  <c r="AU9" i="1" s="1"/>
  <c r="AV7" i="1" a="1"/>
  <c r="AV7" i="1" s="1"/>
  <c r="AU371" i="1" a="1"/>
  <c r="AU371" i="1" s="1"/>
  <c r="AU356" i="1" a="1"/>
  <c r="AU356" i="1" s="1"/>
  <c r="AU342" i="1" a="1"/>
  <c r="AU342" i="1" s="1"/>
  <c r="AU328" i="1" a="1"/>
  <c r="AU328" i="1" s="1"/>
  <c r="AU285" i="1" a="1"/>
  <c r="AU285" i="1" s="1"/>
  <c r="AU271" i="1" a="1"/>
  <c r="AU271" i="1" s="1"/>
  <c r="AU257" i="1" a="1"/>
  <c r="AU257" i="1" s="1"/>
  <c r="AU228" i="1" a="1"/>
  <c r="AU228" i="1" s="1"/>
  <c r="AU214" i="1" a="1"/>
  <c r="AU214" i="1" s="1"/>
  <c r="AU200" i="1" a="1"/>
  <c r="AU200" i="1" s="1"/>
  <c r="AU186" i="1" a="1"/>
  <c r="AU186" i="1" s="1"/>
  <c r="AU157" i="1" a="1"/>
  <c r="AU157" i="1" s="1"/>
  <c r="AU143" i="1" a="1"/>
  <c r="AU143" i="1" s="1"/>
  <c r="AU129" i="1" a="1"/>
  <c r="AU129" i="1" s="1"/>
  <c r="AU115" i="1" a="1"/>
  <c r="AU115" i="1" s="1"/>
  <c r="AU100" i="1" a="1"/>
  <c r="AU100" i="1" s="1"/>
  <c r="AU86" i="1" a="1"/>
  <c r="AU86" i="1" s="1"/>
  <c r="AU72" i="1" a="1"/>
  <c r="AU72" i="1" s="1"/>
  <c r="AU58" i="1" a="1"/>
  <c r="AU58" i="1" s="1"/>
  <c r="AU44" i="1" a="1"/>
  <c r="AU44" i="1" s="1"/>
  <c r="AU20" i="1" a="1"/>
  <c r="AU20" i="1" s="1"/>
  <c r="AV365" i="1" a="1"/>
  <c r="AV365" i="1" s="1"/>
  <c r="AV351" i="1" a="1"/>
  <c r="AV351" i="1" s="1"/>
  <c r="AV337" i="1" a="1"/>
  <c r="AV337" i="1" s="1"/>
  <c r="AV323" i="1" a="1"/>
  <c r="AV323" i="1" s="1"/>
  <c r="AV308" i="1" a="1"/>
  <c r="AV308" i="1" s="1"/>
  <c r="AV293" i="1" a="1"/>
  <c r="AV293" i="1" s="1"/>
  <c r="AV265" i="1" a="1"/>
  <c r="AV265" i="1" s="1"/>
  <c r="AV251" i="1" a="1"/>
  <c r="AV251" i="1" s="1"/>
  <c r="AV236" i="1" a="1"/>
  <c r="AV236" i="1" s="1"/>
  <c r="AV222" i="1" a="1"/>
  <c r="AV222" i="1" s="1"/>
  <c r="AV208" i="1" a="1"/>
  <c r="AV208" i="1" s="1"/>
  <c r="AV194" i="1" a="1"/>
  <c r="AV194" i="1" s="1"/>
  <c r="AV165" i="1" a="1"/>
  <c r="AV165" i="1" s="1"/>
  <c r="AV151" i="1" a="1"/>
  <c r="AV151" i="1" s="1"/>
  <c r="AV123" i="1" a="1"/>
  <c r="AV123" i="1" s="1"/>
  <c r="AV108" i="1" a="1"/>
  <c r="AV108" i="1" s="1"/>
  <c r="AV80" i="1" a="1"/>
  <c r="AV80" i="1" s="1"/>
  <c r="AV37" i="1" a="1"/>
  <c r="AV37" i="1" s="1"/>
  <c r="AV24" i="1" a="1"/>
  <c r="AV24" i="1" s="1"/>
  <c r="AU8" i="1" a="1"/>
  <c r="AU8" i="1" s="1"/>
  <c r="AV6" i="1" a="1"/>
  <c r="AV6" i="1" s="1"/>
  <c r="AU370" i="1" a="1"/>
  <c r="AU370" i="1" s="1"/>
  <c r="AU313" i="1" a="1"/>
  <c r="AU313" i="1" s="1"/>
  <c r="AU299" i="1" a="1"/>
  <c r="AU299" i="1" s="1"/>
  <c r="AU284" i="1" a="1"/>
  <c r="AU284" i="1" s="1"/>
  <c r="AU242" i="1" a="1"/>
  <c r="AU242" i="1" s="1"/>
  <c r="AU213" i="1" a="1"/>
  <c r="AU213" i="1" s="1"/>
  <c r="AU199" i="1" a="1"/>
  <c r="AU199" i="1" s="1"/>
  <c r="AU185" i="1" a="1"/>
  <c r="AU185" i="1" s="1"/>
  <c r="AU171" i="1" a="1"/>
  <c r="AU171" i="1" s="1"/>
  <c r="AU156" i="1" a="1"/>
  <c r="AU156" i="1" s="1"/>
  <c r="AU128" i="1" a="1"/>
  <c r="AU128" i="1" s="1"/>
  <c r="AU114" i="1" a="1"/>
  <c r="AU114" i="1" s="1"/>
  <c r="AU71" i="1" a="1"/>
  <c r="AU71" i="1" s="1"/>
  <c r="AU57" i="1" a="1"/>
  <c r="AU57" i="1" s="1"/>
  <c r="AV379" i="1" a="1"/>
  <c r="AV379" i="1" s="1"/>
  <c r="AV350" i="1" a="1"/>
  <c r="AV350" i="1" s="1"/>
  <c r="AV336" i="1" a="1"/>
  <c r="AV336" i="1" s="1"/>
  <c r="AV292" i="1" a="1"/>
  <c r="AV292" i="1" s="1"/>
  <c r="AV278" i="1" a="1"/>
  <c r="AV278" i="1" s="1"/>
  <c r="AV264" i="1" a="1"/>
  <c r="AV264" i="1" s="1"/>
  <c r="AV250" i="1" a="1"/>
  <c r="AV250" i="1" s="1"/>
  <c r="AV207" i="1" a="1"/>
  <c r="AV207" i="1" s="1"/>
  <c r="AV193" i="1" a="1"/>
  <c r="AV193" i="1" s="1"/>
  <c r="AV179" i="1" a="1"/>
  <c r="AV179" i="1" s="1"/>
  <c r="AV164" i="1" a="1"/>
  <c r="AV164" i="1" s="1"/>
  <c r="AV150" i="1" a="1"/>
  <c r="AV150" i="1" s="1"/>
  <c r="AV122" i="1" a="1"/>
  <c r="AV122" i="1" s="1"/>
  <c r="AV93" i="1" a="1"/>
  <c r="AV93" i="1" s="1"/>
  <c r="AV79" i="1" a="1"/>
  <c r="AV79" i="1" s="1"/>
  <c r="AV65" i="1" a="1"/>
  <c r="AV65" i="1" s="1"/>
  <c r="AV51" i="1" a="1"/>
  <c r="AV51" i="1" s="1"/>
  <c r="AV36" i="1" a="1"/>
  <c r="AV36" i="1" s="1"/>
  <c r="AV23" i="1" a="1"/>
  <c r="AV23" i="1" s="1"/>
  <c r="AU260" i="1" a="1"/>
  <c r="AU260" i="1" s="1"/>
  <c r="AV5" i="1" a="1"/>
  <c r="AV5" i="1" s="1"/>
  <c r="AU369" i="1" a="1"/>
  <c r="AU369" i="1" s="1"/>
  <c r="AW369" i="1" s="1"/>
  <c r="AU355" i="1" a="1"/>
  <c r="AU355" i="1" s="1"/>
  <c r="AU340" i="1" a="1"/>
  <c r="AU340" i="1" s="1"/>
  <c r="AU326" i="1" a="1"/>
  <c r="AU326" i="1" s="1"/>
  <c r="AW326" i="1" s="1"/>
  <c r="AU312" i="1" a="1"/>
  <c r="AU312" i="1" s="1"/>
  <c r="AU269" i="1" a="1"/>
  <c r="AU269" i="1" s="1"/>
  <c r="AU255" i="1" a="1"/>
  <c r="AU255" i="1" s="1"/>
  <c r="AU241" i="1" a="1"/>
  <c r="AU241" i="1" s="1"/>
  <c r="AU227" i="1" a="1"/>
  <c r="AU227" i="1" s="1"/>
  <c r="AU212" i="1" a="1"/>
  <c r="AU212" i="1" s="1"/>
  <c r="AU184" i="1" a="1"/>
  <c r="AU184" i="1" s="1"/>
  <c r="AU170" i="1" a="1"/>
  <c r="AU170" i="1" s="1"/>
  <c r="AW170" i="1" s="1"/>
  <c r="AU141" i="1" a="1"/>
  <c r="AU141" i="1" s="1"/>
  <c r="AU127" i="1" a="1"/>
  <c r="AU127" i="1" s="1"/>
  <c r="AW127" i="1" s="1"/>
  <c r="AU113" i="1" a="1"/>
  <c r="AU113" i="1" s="1"/>
  <c r="AU99" i="1" a="1"/>
  <c r="AU99" i="1" s="1"/>
  <c r="AU84" i="1" a="1"/>
  <c r="AU84" i="1" s="1"/>
  <c r="AU70" i="1" a="1"/>
  <c r="AU70" i="1" s="1"/>
  <c r="AU56" i="1" a="1"/>
  <c r="AU56" i="1" s="1"/>
  <c r="AU43" i="1" a="1"/>
  <c r="AU43" i="1" s="1"/>
  <c r="AU31" i="1" a="1"/>
  <c r="AU31" i="1" s="1"/>
  <c r="AV378" i="1" a="1"/>
  <c r="AV378" i="1" s="1"/>
  <c r="AV349" i="1" a="1"/>
  <c r="AV349" i="1" s="1"/>
  <c r="AV335" i="1" a="1"/>
  <c r="AV335" i="1" s="1"/>
  <c r="AV321" i="1" a="1"/>
  <c r="AV321" i="1" s="1"/>
  <c r="AV307" i="1" a="1"/>
  <c r="AV307" i="1" s="1"/>
  <c r="AV277" i="1" a="1"/>
  <c r="AV277" i="1" s="1"/>
  <c r="AV263" i="1" a="1"/>
  <c r="AV263" i="1" s="1"/>
  <c r="AV249" i="1" a="1"/>
  <c r="AV249" i="1" s="1"/>
  <c r="AV235" i="1" a="1"/>
  <c r="AV235" i="1" s="1"/>
  <c r="AV220" i="1" a="1"/>
  <c r="AV220" i="1" s="1"/>
  <c r="AV206" i="1" a="1"/>
  <c r="AV206" i="1" s="1"/>
  <c r="AV192" i="1" a="1"/>
  <c r="AV192" i="1" s="1"/>
  <c r="AV178" i="1" a="1"/>
  <c r="AV178" i="1" s="1"/>
  <c r="AV149" i="1" a="1"/>
  <c r="AV149" i="1" s="1"/>
  <c r="AV135" i="1" a="1"/>
  <c r="AV135" i="1" s="1"/>
  <c r="AV121" i="1" a="1"/>
  <c r="AV121" i="1" s="1"/>
  <c r="AV107" i="1" a="1"/>
  <c r="AV107" i="1" s="1"/>
  <c r="AV78" i="1" a="1"/>
  <c r="AV78" i="1" s="1"/>
  <c r="AV64" i="1" a="1"/>
  <c r="AV64" i="1" s="1"/>
  <c r="AV50" i="1" a="1"/>
  <c r="AV50" i="1" s="1"/>
  <c r="AV22" i="1" a="1"/>
  <c r="AV22" i="1" s="1"/>
  <c r="AU7" i="1" a="1"/>
  <c r="AU7" i="1" s="1"/>
  <c r="AV4" i="1" a="1"/>
  <c r="AV4" i="1" s="1"/>
  <c r="AU368" i="1" a="1"/>
  <c r="AU368" i="1" s="1"/>
  <c r="AU354" i="1" a="1"/>
  <c r="AU354" i="1" s="1"/>
  <c r="AU325" i="1" a="1"/>
  <c r="AU325" i="1" s="1"/>
  <c r="AW325" i="1" s="1"/>
  <c r="AU311" i="1" a="1"/>
  <c r="AU311" i="1" s="1"/>
  <c r="AU297" i="1" a="1"/>
  <c r="AU297" i="1" s="1"/>
  <c r="AU283" i="1" a="1"/>
  <c r="AU283" i="1" s="1"/>
  <c r="AU268" i="1" a="1"/>
  <c r="AU268" i="1" s="1"/>
  <c r="AW268" i="1" s="1"/>
  <c r="AU254" i="1" a="1"/>
  <c r="AU254" i="1" s="1"/>
  <c r="AU240" i="1" a="1"/>
  <c r="AU240" i="1" s="1"/>
  <c r="AU226" i="1" a="1"/>
  <c r="AU226" i="1" s="1"/>
  <c r="AU197" i="1" a="1"/>
  <c r="AU197" i="1" s="1"/>
  <c r="AW197" i="1" s="1"/>
  <c r="AU183" i="1" a="1"/>
  <c r="AU183" i="1" s="1"/>
  <c r="AU169" i="1" a="1"/>
  <c r="AU169" i="1" s="1"/>
  <c r="AW169" i="1" s="1"/>
  <c r="AU155" i="1" a="1"/>
  <c r="AU155" i="1" s="1"/>
  <c r="AU140" i="1" a="1"/>
  <c r="AU140" i="1" s="1"/>
  <c r="AU126" i="1" a="1"/>
  <c r="AU126" i="1" s="1"/>
  <c r="AW126" i="1" s="1"/>
  <c r="AU112" i="1" a="1"/>
  <c r="AU112" i="1" s="1"/>
  <c r="AW112" i="1" s="1"/>
  <c r="AU98" i="1" a="1"/>
  <c r="AU98" i="1" s="1"/>
  <c r="AU69" i="1" a="1"/>
  <c r="AU69" i="1" s="1"/>
  <c r="AW69" i="1" s="1"/>
  <c r="AU55" i="1" a="1"/>
  <c r="AU55" i="1" s="1"/>
  <c r="AW55" i="1" s="1"/>
  <c r="AU42" i="1" a="1"/>
  <c r="AU42" i="1" s="1"/>
  <c r="AU30" i="1" a="1"/>
  <c r="AU30" i="1" s="1"/>
  <c r="AV377" i="1" a="1"/>
  <c r="AV377" i="1" s="1"/>
  <c r="AV363" i="1" a="1"/>
  <c r="AV363" i="1" s="1"/>
  <c r="AV334" i="1" a="1"/>
  <c r="AV334" i="1" s="1"/>
  <c r="AV320" i="1" a="1"/>
  <c r="AV320" i="1" s="1"/>
  <c r="AV306" i="1" a="1"/>
  <c r="AV306" i="1" s="1"/>
  <c r="AV276" i="1" a="1"/>
  <c r="AV276" i="1" s="1"/>
  <c r="AV262" i="1" a="1"/>
  <c r="AV262" i="1" s="1"/>
  <c r="AV248" i="1" a="1"/>
  <c r="AV248" i="1" s="1"/>
  <c r="AV205" i="1" a="1"/>
  <c r="AV205" i="1" s="1"/>
  <c r="AV191" i="1" a="1"/>
  <c r="AV191" i="1" s="1"/>
  <c r="AV163" i="1" a="1"/>
  <c r="AV163" i="1" s="1"/>
  <c r="AV148" i="1" a="1"/>
  <c r="AV148" i="1" s="1"/>
  <c r="AV134" i="1" a="1"/>
  <c r="AV134" i="1" s="1"/>
  <c r="AV120" i="1" a="1"/>
  <c r="AV120" i="1" s="1"/>
  <c r="AV106" i="1" a="1"/>
  <c r="AV106" i="1" s="1"/>
  <c r="AV77" i="1" a="1"/>
  <c r="AV77" i="1" s="1"/>
  <c r="AV63" i="1" a="1"/>
  <c r="AV63" i="1" s="1"/>
  <c r="AV49" i="1" a="1"/>
  <c r="AV49" i="1" s="1"/>
  <c r="AV35" i="1" a="1"/>
  <c r="AV35" i="1" s="1"/>
  <c r="AW35" i="1" s="1"/>
  <c r="AV21" i="1" a="1"/>
  <c r="AV21" i="1" s="1"/>
  <c r="AU6" i="1" a="1"/>
  <c r="AU6" i="1" s="1"/>
  <c r="AW6" i="1" s="1"/>
  <c r="AV3" i="1" a="1"/>
  <c r="AV3" i="1" s="1"/>
  <c r="AU353" i="1" a="1"/>
  <c r="AU353" i="1" s="1"/>
  <c r="AW353" i="1" s="1"/>
  <c r="AU339" i="1" a="1"/>
  <c r="AU339" i="1" s="1"/>
  <c r="AU324" i="1" a="1"/>
  <c r="AU324" i="1" s="1"/>
  <c r="AU310" i="1" a="1"/>
  <c r="AU310" i="1" s="1"/>
  <c r="AU296" i="1" a="1"/>
  <c r="AU296" i="1" s="1"/>
  <c r="AU253" i="1" a="1"/>
  <c r="AU253" i="1" s="1"/>
  <c r="AU239" i="1" a="1"/>
  <c r="AU239" i="1" s="1"/>
  <c r="AU211" i="1" a="1"/>
  <c r="AU211" i="1" s="1"/>
  <c r="AW211" i="1" s="1"/>
  <c r="AU196" i="1" a="1"/>
  <c r="AU196" i="1" s="1"/>
  <c r="AU182" i="1" a="1"/>
  <c r="AU182" i="1" s="1"/>
  <c r="AU154" i="1" a="1"/>
  <c r="AU154" i="1" s="1"/>
  <c r="AU125" i="1" a="1"/>
  <c r="AU125" i="1" s="1"/>
  <c r="AW125" i="1" s="1"/>
  <c r="AU111" i="1" a="1"/>
  <c r="AU111" i="1" s="1"/>
  <c r="AW111" i="1" s="1"/>
  <c r="AU97" i="1" a="1"/>
  <c r="AU97" i="1" s="1"/>
  <c r="AW97" i="1" s="1"/>
  <c r="AU83" i="1" a="1"/>
  <c r="AU83" i="1" s="1"/>
  <c r="AW83" i="1" s="1"/>
  <c r="AU68" i="1" a="1"/>
  <c r="AU68" i="1" s="1"/>
  <c r="AW68" i="1" s="1"/>
  <c r="AU54" i="1" a="1"/>
  <c r="AU54" i="1" s="1"/>
  <c r="AU41" i="1" a="1"/>
  <c r="AU41" i="1" s="1"/>
  <c r="AW41" i="1" s="1"/>
  <c r="AU29" i="1" a="1"/>
  <c r="AU29" i="1" s="1"/>
  <c r="AU18" i="1" a="1"/>
  <c r="AU18" i="1" s="1"/>
  <c r="AV376" i="1" a="1"/>
  <c r="AV376" i="1" s="1"/>
  <c r="AV362" i="1" a="1"/>
  <c r="AV362" i="1" s="1"/>
  <c r="AV333" i="1" a="1"/>
  <c r="AV333" i="1" s="1"/>
  <c r="AV319" i="1" a="1"/>
  <c r="AV319" i="1" s="1"/>
  <c r="AV305" i="1" a="1"/>
  <c r="AV305" i="1" s="1"/>
  <c r="AV261" i="1" a="1"/>
  <c r="AV261" i="1" s="1"/>
  <c r="AV247" i="1" a="1"/>
  <c r="AV247" i="1" s="1"/>
  <c r="AV233" i="1" a="1"/>
  <c r="AV233" i="1" s="1"/>
  <c r="AW233" i="1" s="1"/>
  <c r="AV219" i="1" a="1"/>
  <c r="AV219" i="1" s="1"/>
  <c r="AV204" i="1" a="1"/>
  <c r="AV204" i="1" s="1"/>
  <c r="AW204" i="1" s="1"/>
  <c r="AV176" i="1" a="1"/>
  <c r="AV176" i="1" s="1"/>
  <c r="AV162" i="1" a="1"/>
  <c r="AV162" i="1" s="1"/>
  <c r="AV133" i="1" a="1"/>
  <c r="AV133" i="1" s="1"/>
  <c r="AV119" i="1" a="1"/>
  <c r="AV119" i="1" s="1"/>
  <c r="AW119" i="1" s="1"/>
  <c r="AV91" i="1" a="1"/>
  <c r="AV91" i="1" s="1"/>
  <c r="AV76" i="1" a="1"/>
  <c r="AV76" i="1" s="1"/>
  <c r="AV48" i="1" a="1"/>
  <c r="AV48" i="1" s="1"/>
  <c r="AW48" i="1" s="1"/>
  <c r="AV20" i="1" a="1"/>
  <c r="AV20" i="1" s="1"/>
  <c r="AU5" i="1" a="1"/>
  <c r="AU5" i="1" s="1"/>
  <c r="AU380" i="1" a="1"/>
  <c r="AU380" i="1" s="1"/>
  <c r="AW380" i="1" s="1"/>
  <c r="AU366" i="1" a="1"/>
  <c r="AU366" i="1" s="1"/>
  <c r="AU352" i="1" a="1"/>
  <c r="AU352" i="1" s="1"/>
  <c r="AU338" i="1" a="1"/>
  <c r="AU338" i="1" s="1"/>
  <c r="AU309" i="1" a="1"/>
  <c r="AU309" i="1" s="1"/>
  <c r="AU295" i="1" a="1"/>
  <c r="AU295" i="1" s="1"/>
  <c r="AU281" i="1" a="1"/>
  <c r="AU281" i="1" s="1"/>
  <c r="AU267" i="1" a="1"/>
  <c r="AU267" i="1" s="1"/>
  <c r="AU252" i="1" a="1"/>
  <c r="AU252" i="1" s="1"/>
  <c r="AU238" i="1" a="1"/>
  <c r="AU238" i="1" s="1"/>
  <c r="AW238" i="1" s="1"/>
  <c r="AU224" i="1" a="1"/>
  <c r="AU224" i="1" s="1"/>
  <c r="AW224" i="1" s="1"/>
  <c r="AU210" i="1" a="1"/>
  <c r="AU210" i="1" s="1"/>
  <c r="AW210" i="1" s="1"/>
  <c r="AU181" i="1" a="1"/>
  <c r="AU181" i="1" s="1"/>
  <c r="AW181" i="1" s="1"/>
  <c r="AU167" i="1" a="1"/>
  <c r="AU167" i="1" s="1"/>
  <c r="AU153" i="1" a="1"/>
  <c r="AU153" i="1" s="1"/>
  <c r="AU139" i="1" a="1"/>
  <c r="AU139" i="1" s="1"/>
  <c r="AW139" i="1" s="1"/>
  <c r="AU110" i="1" a="1"/>
  <c r="AU110" i="1" s="1"/>
  <c r="AU96" i="1" a="1"/>
  <c r="AU96" i="1" s="1"/>
  <c r="AU82" i="1" a="1"/>
  <c r="AU82" i="1" s="1"/>
  <c r="AU53" i="1" a="1"/>
  <c r="AU53" i="1" s="1"/>
  <c r="AU40" i="1" a="1"/>
  <c r="AU40" i="1" s="1"/>
  <c r="AU28" i="1" a="1"/>
  <c r="AU28" i="1" s="1"/>
  <c r="AU17" i="1" a="1"/>
  <c r="AU17" i="1" s="1"/>
  <c r="AV375" i="1" a="1"/>
  <c r="AV375" i="1" s="1"/>
  <c r="AV332" i="1" a="1"/>
  <c r="AV332" i="1" s="1"/>
  <c r="AV318" i="1" a="1"/>
  <c r="AV318" i="1" s="1"/>
  <c r="AW318" i="1" s="1"/>
  <c r="AV304" i="1" a="1"/>
  <c r="AV304" i="1" s="1"/>
  <c r="AV289" i="1" a="1"/>
  <c r="AV289" i="1" s="1"/>
  <c r="AV275" i="1" a="1"/>
  <c r="AV275" i="1" s="1"/>
  <c r="AW275" i="1" s="1"/>
  <c r="AV260" i="1" a="1"/>
  <c r="AV260" i="1" s="1"/>
  <c r="AV246" i="1" a="1"/>
  <c r="AV246" i="1" s="1"/>
  <c r="AV232" i="1" a="1"/>
  <c r="AV232" i="1" s="1"/>
  <c r="AV218" i="1" a="1"/>
  <c r="AV218" i="1" s="1"/>
  <c r="AW218" i="1" s="1"/>
  <c r="AV161" i="1" a="1"/>
  <c r="AV161" i="1" s="1"/>
  <c r="AW161" i="1" s="1"/>
  <c r="AV147" i="1" a="1"/>
  <c r="AV147" i="1" s="1"/>
  <c r="AW147" i="1" s="1"/>
  <c r="AV132" i="1" a="1"/>
  <c r="AV132" i="1" s="1"/>
  <c r="AW132" i="1" s="1"/>
  <c r="AV118" i="1" a="1"/>
  <c r="AV118" i="1" s="1"/>
  <c r="AV104" i="1" a="1"/>
  <c r="AV104" i="1" s="1"/>
  <c r="AV90" i="1" a="1"/>
  <c r="AV90" i="1" s="1"/>
  <c r="AW90" i="1" s="1"/>
  <c r="AV61" i="1" a="1"/>
  <c r="AV61" i="1" s="1"/>
  <c r="AV47" i="1" a="1"/>
  <c r="AV47" i="1" s="1"/>
  <c r="AV33" i="1" a="1"/>
  <c r="AV33" i="1" s="1"/>
  <c r="AU365" i="1" a="1"/>
  <c r="AU365" i="1" s="1"/>
  <c r="AU351" i="1" a="1"/>
  <c r="AU351" i="1" s="1"/>
  <c r="AU337" i="1" a="1"/>
  <c r="AU337" i="1" s="1"/>
  <c r="AU323" i="1" a="1"/>
  <c r="AU323" i="1" s="1"/>
  <c r="AU308" i="1" a="1"/>
  <c r="AU308" i="1" s="1"/>
  <c r="AU294" i="1" a="1"/>
  <c r="AU294" i="1" s="1"/>
  <c r="AW294" i="1" s="1"/>
  <c r="AU280" i="1" a="1"/>
  <c r="AU280" i="1" s="1"/>
  <c r="AU237" i="1" a="1"/>
  <c r="AU237" i="1" s="1"/>
  <c r="AU223" i="1" a="1"/>
  <c r="AU223" i="1" s="1"/>
  <c r="AW223" i="1" s="1"/>
  <c r="AU209" i="1" a="1"/>
  <c r="AU209" i="1" s="1"/>
  <c r="AU195" i="1" a="1"/>
  <c r="AU195" i="1" s="1"/>
  <c r="AU180" i="1" a="1"/>
  <c r="AU180" i="1" s="1"/>
  <c r="AU166" i="1" a="1"/>
  <c r="AU166" i="1" s="1"/>
  <c r="AW166" i="1" s="1"/>
  <c r="AU152" i="1" a="1"/>
  <c r="AU152" i="1" s="1"/>
  <c r="AW152" i="1" s="1"/>
  <c r="AU138" i="1" a="1"/>
  <c r="AU138" i="1" s="1"/>
  <c r="AW138" i="1" s="1"/>
  <c r="AU109" i="1" a="1"/>
  <c r="AU109" i="1" s="1"/>
  <c r="AU95" i="1" a="1"/>
  <c r="AU95" i="1" s="1"/>
  <c r="AU81" i="1" a="1"/>
  <c r="AU81" i="1" s="1"/>
  <c r="AU67" i="1" a="1"/>
  <c r="AU67" i="1" s="1"/>
  <c r="AU52" i="1" a="1"/>
  <c r="AU52" i="1" s="1"/>
  <c r="AU16" i="1" a="1"/>
  <c r="AU16" i="1" s="1"/>
  <c r="AV374" i="1" a="1"/>
  <c r="AV374" i="1" s="1"/>
  <c r="AV360" i="1" a="1"/>
  <c r="AV360" i="1" s="1"/>
  <c r="AV346" i="1" a="1"/>
  <c r="AV346" i="1" s="1"/>
  <c r="AW346" i="1" s="1"/>
  <c r="AV317" i="1" a="1"/>
  <c r="AV317" i="1" s="1"/>
  <c r="AW317" i="1" s="1"/>
  <c r="AV303" i="1" a="1"/>
  <c r="AV303" i="1" s="1"/>
  <c r="AV274" i="1" a="1"/>
  <c r="AV274" i="1" s="1"/>
  <c r="AV245" i="1" a="1"/>
  <c r="AV245" i="1" s="1"/>
  <c r="AV231" i="1" a="1"/>
  <c r="AV231" i="1" s="1"/>
  <c r="AV217" i="1" a="1"/>
  <c r="AV217" i="1" s="1"/>
  <c r="AV203" i="1" a="1"/>
  <c r="AV203" i="1" s="1"/>
  <c r="AV188" i="1" a="1"/>
  <c r="AV188" i="1" s="1"/>
  <c r="AV174" i="1" a="1"/>
  <c r="AV174" i="1" s="1"/>
  <c r="AV160" i="1" a="1"/>
  <c r="AV160" i="1" s="1"/>
  <c r="AV146" i="1" a="1"/>
  <c r="AV146" i="1" s="1"/>
  <c r="AV117" i="1" a="1"/>
  <c r="AV117" i="1" s="1"/>
  <c r="AV103" i="1" a="1"/>
  <c r="AV103" i="1" s="1"/>
  <c r="AV89" i="1" a="1"/>
  <c r="AV89" i="1" s="1"/>
  <c r="AV75" i="1" a="1"/>
  <c r="AV75" i="1" s="1"/>
  <c r="AV60" i="1" a="1"/>
  <c r="AV60" i="1" s="1"/>
  <c r="AV46" i="1" a="1"/>
  <c r="AV46" i="1" s="1"/>
  <c r="AU4" i="1" a="1"/>
  <c r="AU4" i="1" s="1"/>
  <c r="AU379" i="1" a="1"/>
  <c r="AU379" i="1" s="1"/>
  <c r="AU350" i="1" a="1"/>
  <c r="AU350" i="1" s="1"/>
  <c r="AU336" i="1" a="1"/>
  <c r="AU336" i="1" s="1"/>
  <c r="AW336" i="1" s="1"/>
  <c r="AU293" i="1" a="1"/>
  <c r="AU293" i="1" s="1"/>
  <c r="AU265" i="1" a="1"/>
  <c r="AU265" i="1" s="1"/>
  <c r="AU251" i="1" a="1"/>
  <c r="AU251" i="1" s="1"/>
  <c r="AW251" i="1" s="1"/>
  <c r="AU236" i="1" a="1"/>
  <c r="AU236" i="1" s="1"/>
  <c r="AW236" i="1" s="1"/>
  <c r="AU222" i="1" a="1"/>
  <c r="AU222" i="1" s="1"/>
  <c r="AU208" i="1" a="1"/>
  <c r="AU208" i="1" s="1"/>
  <c r="AW208" i="1" s="1"/>
  <c r="AU194" i="1" a="1"/>
  <c r="AU194" i="1" s="1"/>
  <c r="AW194" i="1" s="1"/>
  <c r="AU165" i="1" a="1"/>
  <c r="AU165" i="1" s="1"/>
  <c r="AW165" i="1" s="1"/>
  <c r="AU151" i="1" a="1"/>
  <c r="AU151" i="1" s="1"/>
  <c r="AW151" i="1" s="1"/>
  <c r="AU123" i="1" a="1"/>
  <c r="AU123" i="1" s="1"/>
  <c r="AW123" i="1" s="1"/>
  <c r="AU108" i="1" a="1"/>
  <c r="AU108" i="1" s="1"/>
  <c r="AU80" i="1" a="1"/>
  <c r="AU80" i="1" s="1"/>
  <c r="AU39" i="1" a="1"/>
  <c r="AU39" i="1" s="1"/>
  <c r="AW39" i="1" s="1"/>
  <c r="AU27" i="1" a="1"/>
  <c r="AU27" i="1" s="1"/>
  <c r="AW27" i="1" s="1"/>
  <c r="AV373" i="1" a="1"/>
  <c r="AV373" i="1" s="1"/>
  <c r="AV359" i="1" a="1"/>
  <c r="AV359" i="1" s="1"/>
  <c r="AV345" i="1" a="1"/>
  <c r="AV345" i="1" s="1"/>
  <c r="AV331" i="1" a="1"/>
  <c r="AV331" i="1" s="1"/>
  <c r="AV316" i="1" a="1"/>
  <c r="AV316" i="1" s="1"/>
  <c r="AV302" i="1" a="1"/>
  <c r="AV302" i="1" s="1"/>
  <c r="AV287" i="1" a="1"/>
  <c r="AV287" i="1" s="1"/>
  <c r="AV273" i="1" a="1"/>
  <c r="AV273" i="1" s="1"/>
  <c r="AV259" i="1" a="1"/>
  <c r="AV259" i="1" s="1"/>
  <c r="AV244" i="1" a="1"/>
  <c r="AV244" i="1" s="1"/>
  <c r="AV216" i="1" a="1"/>
  <c r="AV216" i="1" s="1"/>
  <c r="AV202" i="1" a="1"/>
  <c r="AV202" i="1" s="1"/>
  <c r="AV173" i="1" a="1"/>
  <c r="AV173" i="1" s="1"/>
  <c r="AV159" i="1" a="1"/>
  <c r="AV159" i="1" s="1"/>
  <c r="AV145" i="1" a="1"/>
  <c r="AV145" i="1" s="1"/>
  <c r="AV131" i="1" a="1"/>
  <c r="AV131" i="1" s="1"/>
  <c r="AV116" i="1" a="1"/>
  <c r="AV116" i="1" s="1"/>
  <c r="AV102" i="1" a="1"/>
  <c r="AV102" i="1" s="1"/>
  <c r="AV88" i="1" a="1"/>
  <c r="AV88" i="1" s="1"/>
  <c r="AV74" i="1" a="1"/>
  <c r="AV74" i="1" s="1"/>
  <c r="AV45" i="1" a="1"/>
  <c r="AV45" i="1" s="1"/>
  <c r="AV31" i="1" a="1"/>
  <c r="AV31" i="1" s="1"/>
  <c r="AV18" i="1" a="1"/>
  <c r="AV18" i="1" s="1"/>
  <c r="AU232" i="1" a="1"/>
  <c r="AU232" i="1" s="1"/>
  <c r="AU3" i="1" a="1"/>
  <c r="AU3" i="1" s="1"/>
  <c r="AU378" i="1" a="1"/>
  <c r="AU378" i="1" s="1"/>
  <c r="AU349" i="1" a="1"/>
  <c r="AU349" i="1" s="1"/>
  <c r="AU335" i="1" a="1"/>
  <c r="AU335" i="1" s="1"/>
  <c r="AU321" i="1" a="1"/>
  <c r="AU321" i="1" s="1"/>
  <c r="AU307" i="1" a="1"/>
  <c r="AU307" i="1" s="1"/>
  <c r="AU292" i="1" a="1"/>
  <c r="AU292" i="1" s="1"/>
  <c r="AU278" i="1" a="1"/>
  <c r="AU278" i="1" s="1"/>
  <c r="AU264" i="1" a="1"/>
  <c r="AU264" i="1" s="1"/>
  <c r="AW264" i="1" s="1"/>
  <c r="AU250" i="1" a="1"/>
  <c r="AU250" i="1" s="1"/>
  <c r="AU207" i="1" a="1"/>
  <c r="AU207" i="1" s="1"/>
  <c r="AU193" i="1" a="1"/>
  <c r="AU193" i="1" s="1"/>
  <c r="AW193" i="1" s="1"/>
  <c r="AU179" i="1" a="1"/>
  <c r="AU179" i="1" s="1"/>
  <c r="AW179" i="1" s="1"/>
  <c r="AU164" i="1" a="1"/>
  <c r="AU164" i="1" s="1"/>
  <c r="AU150" i="1" a="1"/>
  <c r="AU150" i="1" s="1"/>
  <c r="AU122" i="1" a="1"/>
  <c r="AU122" i="1" s="1"/>
  <c r="AW122" i="1" s="1"/>
  <c r="AU93" i="1" a="1"/>
  <c r="AU93" i="1" s="1"/>
  <c r="AU79" i="1" a="1"/>
  <c r="AU79" i="1" s="1"/>
  <c r="AW79" i="1" s="1"/>
  <c r="AU65" i="1" a="1"/>
  <c r="AU65" i="1" s="1"/>
  <c r="AU51" i="1" a="1"/>
  <c r="AU51" i="1" s="1"/>
  <c r="AU38" i="1" a="1"/>
  <c r="AU38" i="1" s="1"/>
  <c r="AW38" i="1" s="1"/>
  <c r="AU15" i="1" a="1"/>
  <c r="AU15" i="1" s="1"/>
  <c r="AW15" i="1" s="1"/>
  <c r="AV372" i="1" a="1"/>
  <c r="AV372" i="1" s="1"/>
  <c r="AV358" i="1" a="1"/>
  <c r="AV358" i="1" s="1"/>
  <c r="AV344" i="1" a="1"/>
  <c r="AV344" i="1" s="1"/>
  <c r="AV301" i="1" a="1"/>
  <c r="AV301" i="1" s="1"/>
  <c r="AV286" i="1" a="1"/>
  <c r="AV286" i="1" s="1"/>
  <c r="AV272" i="1" a="1"/>
  <c r="AV272" i="1" s="1"/>
  <c r="AV258" i="1" a="1"/>
  <c r="AV258" i="1" s="1"/>
  <c r="AV229" i="1" a="1"/>
  <c r="AV229" i="1" s="1"/>
  <c r="AV201" i="1" a="1"/>
  <c r="AV201" i="1" s="1"/>
  <c r="AV187" i="1" a="1"/>
  <c r="AV187" i="1" s="1"/>
  <c r="AV172" i="1" a="1"/>
  <c r="AV172" i="1" s="1"/>
  <c r="AV158" i="1" a="1"/>
  <c r="AV158" i="1" s="1"/>
  <c r="AV144" i="1" a="1"/>
  <c r="AV144" i="1" s="1"/>
  <c r="AV130" i="1" a="1"/>
  <c r="AV130" i="1" s="1"/>
  <c r="AV87" i="1" a="1"/>
  <c r="AV87" i="1" s="1"/>
  <c r="AV73" i="1" a="1"/>
  <c r="AV73" i="1" s="1"/>
  <c r="AV59" i="1" a="1"/>
  <c r="AV59" i="1" s="1"/>
  <c r="AV44" i="1" a="1"/>
  <c r="AV44" i="1" s="1"/>
  <c r="AV30" i="1" a="1"/>
  <c r="AV30" i="1" s="1"/>
  <c r="AV17" i="1" a="1"/>
  <c r="AV17" i="1" s="1"/>
  <c r="AV2" i="1" a="1"/>
  <c r="AV2" i="1" s="1"/>
  <c r="AW2" i="1" s="1"/>
  <c r="AU377" i="1" a="1"/>
  <c r="AU377" i="1" s="1"/>
  <c r="AU363" i="1" a="1"/>
  <c r="AU363" i="1" s="1"/>
  <c r="AW363" i="1" s="1"/>
  <c r="AU334" i="1" a="1"/>
  <c r="AU334" i="1" s="1"/>
  <c r="AU320" i="1" a="1"/>
  <c r="AU320" i="1" s="1"/>
  <c r="AU306" i="1" a="1"/>
  <c r="AU306" i="1" s="1"/>
  <c r="AU277" i="1" a="1"/>
  <c r="AU277" i="1" s="1"/>
  <c r="AU263" i="1" a="1"/>
  <c r="AU263" i="1" s="1"/>
  <c r="AU249" i="1" a="1"/>
  <c r="AU249" i="1" s="1"/>
  <c r="AU235" i="1" a="1"/>
  <c r="AU235" i="1" s="1"/>
  <c r="AU220" i="1" a="1"/>
  <c r="AU220" i="1" s="1"/>
  <c r="AU206" i="1" a="1"/>
  <c r="AU206" i="1" s="1"/>
  <c r="AU192" i="1" a="1"/>
  <c r="AU192" i="1" s="1"/>
  <c r="AW192" i="1" s="1"/>
  <c r="AU178" i="1" a="1"/>
  <c r="AU178" i="1" s="1"/>
  <c r="AW178" i="1" s="1"/>
  <c r="AU149" i="1" a="1"/>
  <c r="AU149" i="1" s="1"/>
  <c r="AU135" i="1" a="1"/>
  <c r="AU135" i="1" s="1"/>
  <c r="AW135" i="1" s="1"/>
  <c r="AU121" i="1" a="1"/>
  <c r="AU121" i="1" s="1"/>
  <c r="AW121" i="1" s="1"/>
  <c r="AU107" i="1" a="1"/>
  <c r="AU107" i="1" s="1"/>
  <c r="AU78" i="1" a="1"/>
  <c r="AU78" i="1" s="1"/>
  <c r="AU64" i="1" a="1"/>
  <c r="AU64" i="1" s="1"/>
  <c r="AU50" i="1" a="1"/>
  <c r="AU50" i="1" s="1"/>
  <c r="AU37" i="1" a="1"/>
  <c r="AU37" i="1" s="1"/>
  <c r="AU26" i="1" a="1"/>
  <c r="AU26" i="1" s="1"/>
  <c r="AU14" i="1" a="1"/>
  <c r="AU14" i="1" s="1"/>
  <c r="AW14" i="1" s="1"/>
  <c r="AV343" i="1" a="1"/>
  <c r="AV343" i="1" s="1"/>
  <c r="AV329" i="1" a="1"/>
  <c r="AV329" i="1" s="1"/>
  <c r="AV315" i="1" a="1"/>
  <c r="AV315" i="1" s="1"/>
  <c r="AV300" i="1" a="1"/>
  <c r="AV300" i="1" s="1"/>
  <c r="AV285" i="1" a="1"/>
  <c r="AV285" i="1" s="1"/>
  <c r="AV271" i="1" a="1"/>
  <c r="AV271" i="1" s="1"/>
  <c r="AV257" i="1" a="1"/>
  <c r="AV257" i="1" s="1"/>
  <c r="AV228" i="1" a="1"/>
  <c r="AV228" i="1" s="1"/>
  <c r="AV214" i="1" a="1"/>
  <c r="AV214" i="1" s="1"/>
  <c r="AV200" i="1" a="1"/>
  <c r="AV200" i="1" s="1"/>
  <c r="AV186" i="1" a="1"/>
  <c r="AV186" i="1" s="1"/>
  <c r="AV157" i="1" a="1"/>
  <c r="AV157" i="1" s="1"/>
  <c r="AV143" i="1" a="1"/>
  <c r="AV143" i="1" s="1"/>
  <c r="AV129" i="1" a="1"/>
  <c r="AV129" i="1" s="1"/>
  <c r="AV115" i="1" a="1"/>
  <c r="AV115" i="1" s="1"/>
  <c r="AV100" i="1" a="1"/>
  <c r="AV100" i="1" s="1"/>
  <c r="AV86" i="1" a="1"/>
  <c r="AV86" i="1" s="1"/>
  <c r="AV72" i="1" a="1"/>
  <c r="AV72" i="1" s="1"/>
  <c r="AV58" i="1" a="1"/>
  <c r="AV58" i="1" s="1"/>
  <c r="AV29" i="1" a="1"/>
  <c r="AV29" i="1" s="1"/>
  <c r="AV11" i="1" a="1"/>
  <c r="AV11" i="1" s="1"/>
  <c r="AU376" i="1" a="1"/>
  <c r="AU376" i="1" s="1"/>
  <c r="AW376" i="1" s="1"/>
  <c r="AU362" i="1" a="1"/>
  <c r="AU362" i="1" s="1"/>
  <c r="AU333" i="1" a="1"/>
  <c r="AU333" i="1" s="1"/>
  <c r="AU319" i="1" a="1"/>
  <c r="AU319" i="1" s="1"/>
  <c r="AU305" i="1" a="1"/>
  <c r="AU305" i="1" s="1"/>
  <c r="AU276" i="1" a="1"/>
  <c r="AU276" i="1" s="1"/>
  <c r="AU262" i="1" a="1"/>
  <c r="AU262" i="1" s="1"/>
  <c r="AU248" i="1" a="1"/>
  <c r="AU248" i="1" s="1"/>
  <c r="AU205" i="1" a="1"/>
  <c r="AU205" i="1" s="1"/>
  <c r="AW205" i="1" s="1"/>
  <c r="AU191" i="1" a="1"/>
  <c r="AU191" i="1" s="1"/>
  <c r="AU163" i="1" a="1"/>
  <c r="AU163" i="1" s="1"/>
  <c r="AW163" i="1" s="1"/>
  <c r="AU148" i="1" a="1"/>
  <c r="AU148" i="1" s="1"/>
  <c r="AW148" i="1" s="1"/>
  <c r="AU134" i="1" a="1"/>
  <c r="AU134" i="1" s="1"/>
  <c r="AW134" i="1" s="1"/>
  <c r="AU120" i="1" a="1"/>
  <c r="AU120" i="1" s="1"/>
  <c r="AU106" i="1" a="1"/>
  <c r="AU106" i="1" s="1"/>
  <c r="AW106" i="1" s="1"/>
  <c r="AU77" i="1" a="1"/>
  <c r="AU77" i="1" s="1"/>
  <c r="AW77" i="1" s="1"/>
  <c r="AU63" i="1" a="1"/>
  <c r="AU63" i="1" s="1"/>
  <c r="AU49" i="1" a="1"/>
  <c r="AU49" i="1" s="1"/>
  <c r="AU36" i="1" a="1"/>
  <c r="AU36" i="1" s="1"/>
  <c r="AU25" i="1" a="1"/>
  <c r="AU25" i="1" s="1"/>
  <c r="AU13" i="1" a="1"/>
  <c r="AU13" i="1" s="1"/>
  <c r="AV371" i="1" a="1"/>
  <c r="AV371" i="1" s="1"/>
  <c r="AV356" i="1" a="1"/>
  <c r="AV356" i="1" s="1"/>
  <c r="AV342" i="1" a="1"/>
  <c r="AV342" i="1" s="1"/>
  <c r="AV328" i="1" a="1"/>
  <c r="AV328" i="1" s="1"/>
  <c r="AV314" i="1" a="1"/>
  <c r="AV314" i="1" s="1"/>
  <c r="AV299" i="1" a="1"/>
  <c r="AV299" i="1" s="1"/>
  <c r="AV284" i="1" a="1"/>
  <c r="AV284" i="1" s="1"/>
  <c r="AV242" i="1" a="1"/>
  <c r="AV242" i="1" s="1"/>
  <c r="AV213" i="1" a="1"/>
  <c r="AV213" i="1" s="1"/>
  <c r="AV199" i="1" a="1"/>
  <c r="AV199" i="1" s="1"/>
  <c r="AV185" i="1" a="1"/>
  <c r="AV185" i="1" s="1"/>
  <c r="AV171" i="1" a="1"/>
  <c r="AV171" i="1" s="1"/>
  <c r="AV156" i="1" a="1"/>
  <c r="AV156" i="1" s="1"/>
  <c r="AV128" i="1" a="1"/>
  <c r="AV128" i="1" s="1"/>
  <c r="AV114" i="1" a="1"/>
  <c r="AV114" i="1" s="1"/>
  <c r="AV85" i="1" a="1"/>
  <c r="AV85" i="1" s="1"/>
  <c r="AV71" i="1" a="1"/>
  <c r="AV71" i="1" s="1"/>
  <c r="AV57" i="1" a="1"/>
  <c r="AV57" i="1" s="1"/>
  <c r="AV43" i="1" a="1"/>
  <c r="AV43" i="1" s="1"/>
  <c r="AV28" i="1" a="1"/>
  <c r="AV28" i="1" s="1"/>
  <c r="AV16" i="1" a="1"/>
  <c r="AV16" i="1" s="1"/>
  <c r="AU375" i="1" a="1"/>
  <c r="AU375" i="1" s="1"/>
  <c r="AU332" i="1" a="1"/>
  <c r="AU332" i="1" s="1"/>
  <c r="AU304" i="1" a="1"/>
  <c r="AU304" i="1" s="1"/>
  <c r="AU261" i="1" a="1"/>
  <c r="AU261" i="1" s="1"/>
  <c r="AW261" i="1" s="1"/>
  <c r="AU247" i="1" a="1"/>
  <c r="AU247" i="1" s="1"/>
  <c r="AU219" i="1" a="1"/>
  <c r="AU219" i="1" s="1"/>
  <c r="AW219" i="1" s="1"/>
  <c r="AU176" i="1" a="1"/>
  <c r="AU176" i="1" s="1"/>
  <c r="AU133" i="1" a="1"/>
  <c r="AU133" i="1" s="1"/>
  <c r="AU76" i="1" a="1"/>
  <c r="AU76" i="1" s="1"/>
  <c r="AU24" i="1" a="1"/>
  <c r="AU24" i="1" s="1"/>
  <c r="AV341" i="1" a="1"/>
  <c r="AV341" i="1" s="1"/>
  <c r="AV298" i="1" a="1"/>
  <c r="AV298" i="1" s="1"/>
  <c r="AV255" i="1" a="1"/>
  <c r="AV255" i="1" s="1"/>
  <c r="AV227" i="1" a="1"/>
  <c r="AV227" i="1" s="1"/>
  <c r="AV212" i="1" a="1"/>
  <c r="AV212" i="1" s="1"/>
  <c r="AV184" i="1" a="1"/>
  <c r="AV184" i="1" s="1"/>
  <c r="AV141" i="1" a="1"/>
  <c r="AV141" i="1" s="1"/>
  <c r="AV113" i="1" a="1"/>
  <c r="AV113" i="1" s="1"/>
  <c r="AV99" i="1" a="1"/>
  <c r="AV99" i="1" s="1"/>
  <c r="AV70" i="1" a="1"/>
  <c r="AV70" i="1" s="1"/>
  <c r="AV56" i="1" a="1"/>
  <c r="AV56" i="1" s="1"/>
  <c r="AW133" i="1" l="1"/>
  <c r="AW362" i="1"/>
  <c r="AW176" i="1"/>
  <c r="AW195" i="1"/>
  <c r="AW118" i="1"/>
  <c r="AW333" i="1"/>
  <c r="AW340" i="1"/>
  <c r="AW209" i="1"/>
  <c r="AW355" i="1"/>
  <c r="AW303" i="1"/>
  <c r="AW206" i="1"/>
  <c r="AW120" i="1"/>
  <c r="AW220" i="1"/>
  <c r="AW366" i="1"/>
  <c r="AW297" i="1"/>
  <c r="AW84" i="1"/>
  <c r="AW253" i="1"/>
  <c r="AW349" i="1"/>
  <c r="AW5" i="1"/>
  <c r="AW375" i="1"/>
  <c r="AW368" i="1"/>
  <c r="AW232" i="1"/>
  <c r="AW320" i="1"/>
  <c r="AW150" i="1"/>
  <c r="AW289" i="1"/>
  <c r="AW140" i="1"/>
  <c r="AW7" i="1"/>
  <c r="AW365" i="1"/>
  <c r="AW78" i="1"/>
  <c r="AW107" i="1"/>
  <c r="AW377" i="1"/>
  <c r="AW265" i="1"/>
  <c r="AW252" i="1"/>
  <c r="AW162" i="1"/>
  <c r="AW183" i="1"/>
  <c r="AW226" i="1"/>
  <c r="AW104" i="1"/>
  <c r="AW240" i="1"/>
  <c r="AW312" i="1"/>
  <c r="AW149" i="1"/>
  <c r="AW180" i="1"/>
  <c r="AW295" i="1"/>
  <c r="AW63" i="1"/>
  <c r="AW254" i="1"/>
  <c r="AW154" i="1"/>
  <c r="AW182" i="1"/>
  <c r="AW283" i="1"/>
  <c r="AW360" i="1"/>
  <c r="AW110" i="1"/>
  <c r="AW374" i="1"/>
  <c r="AW313" i="1"/>
  <c r="AW76" i="1"/>
  <c r="AW263" i="1"/>
  <c r="AW378" i="1"/>
  <c r="AW153" i="1"/>
  <c r="AW98" i="1"/>
  <c r="AW354" i="1"/>
  <c r="AW191" i="1"/>
  <c r="AW167" i="1"/>
  <c r="AW334" i="1"/>
  <c r="AW164" i="1"/>
  <c r="AW95" i="1"/>
  <c r="AW155" i="1"/>
  <c r="AW109" i="1"/>
  <c r="AW207" i="1"/>
  <c r="AU190" i="1" a="1"/>
  <c r="AU190" i="1" s="1"/>
  <c r="AW190" i="1" s="1"/>
  <c r="AV32" i="1" a="1"/>
  <c r="AV32" i="1" s="1"/>
  <c r="AW32" i="1" s="1"/>
  <c r="AV288" i="1" a="1"/>
  <c r="AV288" i="1" s="1"/>
  <c r="AW370" i="1"/>
  <c r="AU175" i="1" a="1"/>
  <c r="AU175" i="1" s="1"/>
  <c r="AW175" i="1" s="1"/>
  <c r="AW237" i="1"/>
  <c r="AV291" i="1" a="1"/>
  <c r="AV291" i="1" s="1"/>
  <c r="AW291" i="1" s="1"/>
  <c r="AW9" i="1"/>
  <c r="AV225" i="1" a="1"/>
  <c r="AV225" i="1" s="1"/>
  <c r="AW225" i="1" s="1"/>
  <c r="AV330" i="1" a="1"/>
  <c r="AV330" i="1" s="1"/>
  <c r="AW330" i="1" s="1"/>
  <c r="AU221" i="1" a="1"/>
  <c r="AU221" i="1" s="1"/>
  <c r="AW221" i="1" s="1"/>
  <c r="AW222" i="1"/>
  <c r="AV124" i="1" a="1"/>
  <c r="AV124" i="1" s="1"/>
  <c r="AW124" i="1" s="1"/>
  <c r="AU168" i="1" a="1"/>
  <c r="AU168" i="1" s="1"/>
  <c r="AW168" i="1" s="1"/>
  <c r="AV279" i="1" a="1"/>
  <c r="AV279" i="1" s="1"/>
  <c r="AW279" i="1" s="1"/>
  <c r="AU19" i="1" a="1"/>
  <c r="AU19" i="1" s="1"/>
  <c r="AW19" i="1" s="1"/>
  <c r="AV282" i="1" a="1"/>
  <c r="AV282" i="1" s="1"/>
  <c r="AW282" i="1" s="1"/>
  <c r="AW196" i="1"/>
  <c r="AU142" i="1" a="1"/>
  <c r="AU142" i="1" s="1"/>
  <c r="AV66" i="1" a="1"/>
  <c r="AV66" i="1" s="1"/>
  <c r="AW66" i="1" s="1"/>
  <c r="AV94" i="1" a="1"/>
  <c r="AV94" i="1" s="1"/>
  <c r="AW94" i="1" s="1"/>
  <c r="AV357" i="1" a="1"/>
  <c r="AV357" i="1" s="1"/>
  <c r="AW357" i="1" s="1"/>
  <c r="AU322" i="1" a="1"/>
  <c r="AU322" i="1" s="1"/>
  <c r="AW322" i="1" s="1"/>
  <c r="AW42" i="1"/>
  <c r="AW65" i="1"/>
  <c r="AW335" i="1"/>
  <c r="AW91" i="1"/>
  <c r="AV270" i="1" a="1"/>
  <c r="AV270" i="1" s="1"/>
  <c r="AW270" i="1" s="1"/>
  <c r="AW262" i="1"/>
  <c r="AW350" i="1"/>
  <c r="AV137" i="1" a="1"/>
  <c r="AV137" i="1" s="1"/>
  <c r="AW137" i="1" s="1"/>
  <c r="AU10" i="1" a="1"/>
  <c r="AU10" i="1" s="1"/>
  <c r="AW10" i="1" s="1"/>
  <c r="AW93" i="1"/>
  <c r="AV230" i="1" a="1"/>
  <c r="AV230" i="1" s="1"/>
  <c r="AW379" i="1"/>
  <c r="AW61" i="1"/>
  <c r="AV101" i="1" a="1"/>
  <c r="AV101" i="1" s="1"/>
  <c r="AW101" i="1" s="1"/>
  <c r="AU290" i="1" a="1"/>
  <c r="AU290" i="1" s="1"/>
  <c r="AW290" i="1" s="1"/>
  <c r="AU367" i="1" a="1"/>
  <c r="AU367" i="1" s="1"/>
  <c r="AW367" i="1" s="1"/>
  <c r="AV234" i="1" a="1"/>
  <c r="AV234" i="1" s="1"/>
  <c r="AW234" i="1" s="1"/>
  <c r="AV266" i="1" a="1"/>
  <c r="AV266" i="1" s="1"/>
  <c r="AW266" i="1" s="1"/>
  <c r="AU189" i="1" a="1"/>
  <c r="AU189" i="1" s="1"/>
  <c r="AW189" i="1" s="1"/>
  <c r="AU348" i="1" a="1"/>
  <c r="AU348" i="1" s="1"/>
  <c r="AW348" i="1" s="1"/>
  <c r="AU92" i="1" a="1"/>
  <c r="AU92" i="1" s="1"/>
  <c r="AW92" i="1" s="1"/>
  <c r="AV256" i="1" a="1"/>
  <c r="AV256" i="1" s="1"/>
  <c r="AW256" i="1" s="1"/>
  <c r="AU136" i="1" a="1"/>
  <c r="AU136" i="1" s="1"/>
  <c r="AW136" i="1" s="1"/>
  <c r="AV34" i="1" a="1"/>
  <c r="AV34" i="1" s="1"/>
  <c r="AW34" i="1" s="1"/>
  <c r="AV198" i="1" a="1"/>
  <c r="AV198" i="1" s="1"/>
  <c r="AW198" i="1" s="1"/>
  <c r="AU347" i="1" a="1"/>
  <c r="AU347" i="1" s="1"/>
  <c r="AW347" i="1" s="1"/>
  <c r="AU364" i="1" a="1"/>
  <c r="AU364" i="1" s="1"/>
  <c r="AW364" i="1" s="1"/>
  <c r="AV62" i="1" a="1"/>
  <c r="AV62" i="1" s="1"/>
  <c r="AW62" i="1" s="1"/>
  <c r="AU215" i="1" a="1"/>
  <c r="AU215" i="1" s="1"/>
  <c r="AW215" i="1" s="1"/>
  <c r="AU243" i="1" a="1"/>
  <c r="AU243" i="1" s="1"/>
  <c r="AW243" i="1" s="1"/>
  <c r="AV361" i="1" a="1"/>
  <c r="AV361" i="1" s="1"/>
  <c r="AW361" i="1" s="1"/>
  <c r="AV327" i="1" a="1"/>
  <c r="AV327" i="1" s="1"/>
  <c r="AW327" i="1" s="1"/>
  <c r="AV105" i="1" a="1"/>
  <c r="AV105" i="1" s="1"/>
  <c r="AW105" i="1" s="1"/>
  <c r="AU177" i="1" a="1"/>
  <c r="AU177" i="1" s="1"/>
  <c r="AW177" i="1" s="1"/>
  <c r="AW241" i="1"/>
  <c r="AW269" i="1"/>
  <c r="AW40" i="1"/>
  <c r="AW296" i="1"/>
  <c r="AW26" i="1"/>
  <c r="AW278" i="1"/>
  <c r="AW53" i="1"/>
  <c r="AW309" i="1"/>
  <c r="AW54" i="1"/>
  <c r="AW310" i="1"/>
  <c r="AW276" i="1"/>
  <c r="AW277" i="1"/>
  <c r="AW292" i="1"/>
  <c r="AW52" i="1"/>
  <c r="AW82" i="1"/>
  <c r="AW36" i="1"/>
  <c r="AW50" i="1"/>
  <c r="AW306" i="1"/>
  <c r="AW51" i="1"/>
  <c r="AW307" i="1"/>
  <c r="AW67" i="1"/>
  <c r="AW323" i="1"/>
  <c r="AW96" i="1"/>
  <c r="AW352" i="1"/>
  <c r="AW339" i="1"/>
  <c r="AW305" i="1"/>
  <c r="AW81" i="1"/>
  <c r="AW337" i="1"/>
  <c r="AW304" i="1"/>
  <c r="AW319" i="1"/>
  <c r="AW80" i="1"/>
  <c r="AW351" i="1"/>
  <c r="AW332" i="1"/>
  <c r="AW12" i="1"/>
  <c r="AW108" i="1"/>
  <c r="AW113" i="1"/>
  <c r="AW156" i="1"/>
  <c r="AW143" i="1"/>
  <c r="AW144" i="1"/>
  <c r="AW131" i="1"/>
  <c r="AW117" i="1"/>
  <c r="AW373" i="1"/>
  <c r="AW171" i="1"/>
  <c r="AW157" i="1"/>
  <c r="AW158" i="1"/>
  <c r="AW145" i="1"/>
  <c r="AW246" i="1"/>
  <c r="AW146" i="1"/>
  <c r="AW141" i="1"/>
  <c r="AW260" i="1"/>
  <c r="AW185" i="1"/>
  <c r="AW186" i="1"/>
  <c r="AW172" i="1"/>
  <c r="AW159" i="1"/>
  <c r="AW160" i="1"/>
  <c r="AW11" i="1"/>
  <c r="AW3" i="1"/>
  <c r="AW199" i="1"/>
  <c r="AW200" i="1"/>
  <c r="AW187" i="1"/>
  <c r="AW173" i="1"/>
  <c r="AW174" i="1"/>
  <c r="AW4" i="1"/>
  <c r="AW184" i="1"/>
  <c r="AW213" i="1"/>
  <c r="AW214" i="1"/>
  <c r="AW201" i="1"/>
  <c r="AW202" i="1"/>
  <c r="AW188" i="1"/>
  <c r="AW242" i="1"/>
  <c r="AW228" i="1"/>
  <c r="AW216" i="1"/>
  <c r="AW203" i="1"/>
  <c r="AW212" i="1"/>
  <c r="AW229" i="1"/>
  <c r="AW230" i="1"/>
  <c r="AW217" i="1"/>
  <c r="AW227" i="1"/>
  <c r="AW20" i="1"/>
  <c r="AW257" i="1"/>
  <c r="AW258" i="1"/>
  <c r="AW244" i="1"/>
  <c r="AW231" i="1"/>
  <c r="AW239" i="1"/>
  <c r="AW284" i="1"/>
  <c r="AW271" i="1"/>
  <c r="AW21" i="1"/>
  <c r="AW272" i="1"/>
  <c r="AW259" i="1"/>
  <c r="AW245" i="1"/>
  <c r="AW17" i="1"/>
  <c r="AW267" i="1"/>
  <c r="AW18" i="1"/>
  <c r="AW255" i="1"/>
  <c r="AW299" i="1"/>
  <c r="AW44" i="1"/>
  <c r="AW285" i="1"/>
  <c r="AW33" i="1"/>
  <c r="AW286" i="1"/>
  <c r="AW22" i="1"/>
  <c r="AW273" i="1"/>
  <c r="AW381" i="1"/>
  <c r="AW274" i="1"/>
  <c r="AW235" i="1"/>
  <c r="AW250" i="1"/>
  <c r="AW28" i="1"/>
  <c r="AW281" i="1"/>
  <c r="AW29" i="1"/>
  <c r="AW31" i="1"/>
  <c r="AW57" i="1"/>
  <c r="AW58" i="1"/>
  <c r="AW314" i="1"/>
  <c r="AW45" i="1"/>
  <c r="AW300" i="1"/>
  <c r="AW287" i="1"/>
  <c r="AW23" i="1"/>
  <c r="AW288" i="1"/>
  <c r="AW249" i="1"/>
  <c r="AW280" i="1"/>
  <c r="AW30" i="1"/>
  <c r="AW43" i="1"/>
  <c r="AW298" i="1"/>
  <c r="AW71" i="1"/>
  <c r="AW72" i="1"/>
  <c r="AW328" i="1"/>
  <c r="AW59" i="1"/>
  <c r="AW315" i="1"/>
  <c r="AW46" i="1"/>
  <c r="AW301" i="1"/>
  <c r="AW47" i="1"/>
  <c r="AW302" i="1"/>
  <c r="AW13" i="1"/>
  <c r="AW16" i="1"/>
  <c r="AW56" i="1"/>
  <c r="AW85" i="1"/>
  <c r="AW341" i="1"/>
  <c r="AW86" i="1"/>
  <c r="AW342" i="1"/>
  <c r="AW73" i="1"/>
  <c r="AW329" i="1"/>
  <c r="AW74" i="1"/>
  <c r="AW60" i="1"/>
  <c r="AW316" i="1"/>
  <c r="AW248" i="1"/>
  <c r="AW25" i="1"/>
  <c r="AW37" i="1"/>
  <c r="AW308" i="1"/>
  <c r="AW338" i="1"/>
  <c r="AW324" i="1"/>
  <c r="AW311" i="1"/>
  <c r="AW70" i="1"/>
  <c r="AW114" i="1"/>
  <c r="AW100" i="1"/>
  <c r="AW356" i="1"/>
  <c r="AW87" i="1"/>
  <c r="AW343" i="1"/>
  <c r="AW88" i="1"/>
  <c r="AW344" i="1"/>
  <c r="AW75" i="1"/>
  <c r="AW331" i="1"/>
  <c r="AW247" i="1"/>
  <c r="AW293" i="1"/>
  <c r="AW128" i="1"/>
  <c r="AW115" i="1"/>
  <c r="AW371" i="1"/>
  <c r="AW102" i="1"/>
  <c r="AW358" i="1"/>
  <c r="AW89" i="1"/>
  <c r="AW345" i="1"/>
  <c r="AW24" i="1"/>
  <c r="AW49" i="1"/>
  <c r="AW64" i="1"/>
  <c r="AW321" i="1"/>
  <c r="AW99" i="1"/>
  <c r="AW142" i="1"/>
  <c r="AW8" i="1"/>
  <c r="AW129" i="1"/>
  <c r="AW130" i="1"/>
  <c r="AW116" i="1"/>
  <c r="AW372" i="1"/>
  <c r="AW103" i="1"/>
  <c r="AW35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<sst xmlns="http://schemas.openxmlformats.org/spreadsheetml/2006/main" count="70" uniqueCount="44">
  <si>
    <t>70V</t>
    <phoneticPr fontId="1" type="noConversion"/>
  </si>
  <si>
    <t>117M??_x0002_滯冏</t>
  </si>
  <si>
    <t>1189R?</t>
  </si>
  <si>
    <t>1_x0013_???_x0002_?j</t>
  </si>
  <si>
    <t>11??甄_x0002_滯沫</t>
  </si>
  <si>
    <t>V</t>
  </si>
  <si>
    <t>I1</t>
  </si>
  <si>
    <t>I2</t>
  </si>
  <si>
    <t>108&amp;</t>
  </si>
  <si>
    <t>1?_x0002_??j</t>
  </si>
  <si>
    <t>206SH(???_x0002_??j</t>
  </si>
  <si>
    <t>LNNNC??_x0002_?瞽_x0002_?╰j</t>
  </si>
  <si>
    <t>1舊_x0002_j</t>
  </si>
  <si>
    <t>70V-2</t>
    <phoneticPr fontId="1" type="noConversion"/>
  </si>
  <si>
    <t>17Sj</t>
  </si>
  <si>
    <t>1079R犖槍</t>
  </si>
  <si>
    <t>14吁H(_x0002_??_x0002_?j)1139</t>
  </si>
  <si>
    <t>LLS_x0013_??_x0002_?岈j</t>
  </si>
  <si>
    <t>30NC??_x0002_?熔_x0002_</t>
  </si>
  <si>
    <t>145SH(7</t>
  </si>
  <si>
    <t>L吁_x0002_?熔_x0002_痕j</t>
  </si>
  <si>
    <t>173LC??_x0002_?監_x0002_甜j</t>
  </si>
  <si>
    <t>11???_x0002_?妧j</t>
  </si>
  <si>
    <t>1186??_x0002_?▏?183</t>
  </si>
  <si>
    <t>10_x0013__x0013_笨?</t>
  </si>
  <si>
    <t>132SH(??滯_x0002_?j</t>
  </si>
  <si>
    <t>L冶SH(??漯_x0002_硎j</t>
  </si>
  <si>
    <t>10S_x0013_??</t>
  </si>
  <si>
    <t>1紎_x0002_80</t>
  </si>
  <si>
    <t>’L???_x0002_３j31107</t>
  </si>
  <si>
    <t>10SSH?155</t>
  </si>
  <si>
    <t>?175</t>
  </si>
  <si>
    <t>Vout</t>
  </si>
  <si>
    <t>Iout2</t>
  </si>
  <si>
    <t>Iout1</t>
  </si>
  <si>
    <t>I1</t>
    <phoneticPr fontId="1" type="noConversion"/>
  </si>
  <si>
    <t xml:space="preserve"> </t>
    <phoneticPr fontId="1" type="noConversion"/>
  </si>
  <si>
    <t>V_offset</t>
    <phoneticPr fontId="1" type="noConversion"/>
  </si>
  <si>
    <t>I_offset</t>
    <phoneticPr fontId="1" type="noConversion"/>
  </si>
  <si>
    <t>num/38</t>
    <phoneticPr fontId="1" type="noConversion"/>
  </si>
  <si>
    <t>Vout-V_offset</t>
    <phoneticPr fontId="1" type="noConversion"/>
  </si>
  <si>
    <t>Iout-I_offset</t>
    <phoneticPr fontId="1" type="noConversion"/>
  </si>
  <si>
    <t>Power_avg</t>
    <phoneticPr fontId="1" type="noConversion"/>
  </si>
  <si>
    <t>S(AU*AV)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</si>
</sst>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工作表1!$W$1</c:f>
              <c:strCache>
                <c:ptCount val="1"/>
                <c:pt idx="0">
                  <c:v>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工作表1!$W$2:$W$40</c:f>
              <c:numCache>
                <c:formatCode>General</c:formatCode>
                <c:ptCount val="39"/>
                <c:pt idx="0">
                  <c:v>1172</c:v>
                </c:pt>
                <c:pt idx="1">
                  <c:v>1177</c:v>
                </c:pt>
                <c:pt idx="2">
                  <c:v>1183</c:v>
                </c:pt>
                <c:pt idx="3">
                  <c:v>1183</c:v>
                </c:pt>
                <c:pt idx="4">
                  <c:v>1183</c:v>
                </c:pt>
                <c:pt idx="5">
                  <c:v>1185</c:v>
                </c:pt>
                <c:pt idx="6">
                  <c:v>1178</c:v>
                </c:pt>
                <c:pt idx="7">
                  <c:v>1176</c:v>
                </c:pt>
                <c:pt idx="8">
                  <c:v>1171</c:v>
                </c:pt>
                <c:pt idx="9">
                  <c:v>1168</c:v>
                </c:pt>
                <c:pt idx="10">
                  <c:v>1157</c:v>
                </c:pt>
                <c:pt idx="11">
                  <c:v>1149</c:v>
                </c:pt>
                <c:pt idx="12">
                  <c:v>1132</c:v>
                </c:pt>
                <c:pt idx="13">
                  <c:v>1121</c:v>
                </c:pt>
                <c:pt idx="14">
                  <c:v>1113</c:v>
                </c:pt>
                <c:pt idx="15">
                  <c:v>1099</c:v>
                </c:pt>
                <c:pt idx="16">
                  <c:v>1093</c:v>
                </c:pt>
                <c:pt idx="17">
                  <c:v>1086</c:v>
                </c:pt>
                <c:pt idx="18">
                  <c:v>1082</c:v>
                </c:pt>
                <c:pt idx="19">
                  <c:v>1073</c:v>
                </c:pt>
                <c:pt idx="20">
                  <c:v>1069</c:v>
                </c:pt>
                <c:pt idx="21">
                  <c:v>1067</c:v>
                </c:pt>
                <c:pt idx="22">
                  <c:v>1066</c:v>
                </c:pt>
                <c:pt idx="23">
                  <c:v>1067</c:v>
                </c:pt>
                <c:pt idx="24">
                  <c:v>1072</c:v>
                </c:pt>
                <c:pt idx="25">
                  <c:v>1071</c:v>
                </c:pt>
                <c:pt idx="26">
                  <c:v>1077</c:v>
                </c:pt>
                <c:pt idx="27">
                  <c:v>1083</c:v>
                </c:pt>
                <c:pt idx="28">
                  <c:v>1095</c:v>
                </c:pt>
                <c:pt idx="29">
                  <c:v>1102</c:v>
                </c:pt>
                <c:pt idx="30">
                  <c:v>1111</c:v>
                </c:pt>
                <c:pt idx="31">
                  <c:v>1121</c:v>
                </c:pt>
                <c:pt idx="32">
                  <c:v>1129</c:v>
                </c:pt>
                <c:pt idx="33">
                  <c:v>1139</c:v>
                </c:pt>
                <c:pt idx="34">
                  <c:v>1149</c:v>
                </c:pt>
                <c:pt idx="35">
                  <c:v>1162</c:v>
                </c:pt>
                <c:pt idx="36">
                  <c:v>1165</c:v>
                </c:pt>
                <c:pt idx="37">
                  <c:v>1173</c:v>
                </c:pt>
                <c:pt idx="38">
                  <c:v>1179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1E-4F33-92B9-73E2DF893C2F}"/>
            </c:ext>
          </c:extLst>
        </c:ser>
        <c:ser>
          <c:idx val="1"/>
          <c:order val="1"/>
          <c:tx>
            <c:strRef>
              <c:f>工作表1!$X$1</c:f>
              <c:strCache>
                <c:ptCount val="1"/>
                <c:pt idx="0">
                  <c:v>I2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工作表1!$X$2:$X$40</c:f>
              <c:numCache>
                <c:formatCode>General</c:formatCode>
                <c:ptCount val="39"/>
                <c:pt idx="0">
                  <c:v>605</c:v>
                </c:pt>
                <c:pt idx="1">
                  <c:v>491</c:v>
                </c:pt>
                <c:pt idx="2">
                  <c:v>400</c:v>
                </c:pt>
                <c:pt idx="3">
                  <c:v>326</c:v>
                </c:pt>
                <c:pt idx="4">
                  <c:v>274</c:v>
                </c:pt>
                <c:pt idx="5">
                  <c:v>236</c:v>
                </c:pt>
                <c:pt idx="6">
                  <c:v>225</c:v>
                </c:pt>
                <c:pt idx="7">
                  <c:v>234</c:v>
                </c:pt>
                <c:pt idx="8">
                  <c:v>266</c:v>
                </c:pt>
                <c:pt idx="9">
                  <c:v>313</c:v>
                </c:pt>
                <c:pt idx="10">
                  <c:v>392</c:v>
                </c:pt>
                <c:pt idx="11">
                  <c:v>601</c:v>
                </c:pt>
                <c:pt idx="12">
                  <c:v>713</c:v>
                </c:pt>
                <c:pt idx="13">
                  <c:v>847</c:v>
                </c:pt>
                <c:pt idx="14">
                  <c:v>1004</c:v>
                </c:pt>
                <c:pt idx="15">
                  <c:v>1150</c:v>
                </c:pt>
                <c:pt idx="16">
                  <c:v>1291</c:v>
                </c:pt>
                <c:pt idx="17">
                  <c:v>1430</c:v>
                </c:pt>
                <c:pt idx="18">
                  <c:v>1557</c:v>
                </c:pt>
                <c:pt idx="19">
                  <c:v>1667</c:v>
                </c:pt>
                <c:pt idx="20">
                  <c:v>1757</c:v>
                </c:pt>
                <c:pt idx="21">
                  <c:v>1832</c:v>
                </c:pt>
                <c:pt idx="22">
                  <c:v>1875</c:v>
                </c:pt>
                <c:pt idx="23">
                  <c:v>1907</c:v>
                </c:pt>
                <c:pt idx="24">
                  <c:v>1917</c:v>
                </c:pt>
                <c:pt idx="25">
                  <c:v>1909</c:v>
                </c:pt>
                <c:pt idx="26">
                  <c:v>1877</c:v>
                </c:pt>
                <c:pt idx="27">
                  <c:v>1819</c:v>
                </c:pt>
                <c:pt idx="28">
                  <c:v>1746</c:v>
                </c:pt>
                <c:pt idx="29">
                  <c:v>1654</c:v>
                </c:pt>
                <c:pt idx="30">
                  <c:v>1549</c:v>
                </c:pt>
                <c:pt idx="31">
                  <c:v>1429</c:v>
                </c:pt>
                <c:pt idx="32">
                  <c:v>1304</c:v>
                </c:pt>
                <c:pt idx="33">
                  <c:v>1150</c:v>
                </c:pt>
                <c:pt idx="34">
                  <c:v>1011</c:v>
                </c:pt>
                <c:pt idx="35">
                  <c:v>874</c:v>
                </c:pt>
                <c:pt idx="36">
                  <c:v>726</c:v>
                </c:pt>
                <c:pt idx="37">
                  <c:v>602</c:v>
                </c:pt>
                <c:pt idx="38">
                  <c:v>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1E-4F33-92B9-73E2DF893C2F}"/>
            </c:ext>
          </c:extLst>
        </c:ser>
        <c:ser>
          <c:idx val="2"/>
          <c:order val="2"/>
          <c:tx>
            <c:strRef>
              <c:f>工作表1!$Y$1</c:f>
              <c:strCache>
                <c:ptCount val="1"/>
                <c:pt idx="0">
                  <c:v>Vout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工作表1!$Y$2:$Y$40</c:f>
              <c:numCache>
                <c:formatCode>General</c:formatCode>
                <c:ptCount val="39"/>
                <c:pt idx="0">
                  <c:v>1174.9725000000001</c:v>
                </c:pt>
                <c:pt idx="1">
                  <c:v>1180.0771</c:v>
                </c:pt>
                <c:pt idx="2">
                  <c:v>1183.5969</c:v>
                </c:pt>
                <c:pt idx="3">
                  <c:v>1185.4289000000001</c:v>
                </c:pt>
                <c:pt idx="4">
                  <c:v>1185.5197000000001</c:v>
                </c:pt>
                <c:pt idx="5">
                  <c:v>1183.8667</c:v>
                </c:pt>
                <c:pt idx="6">
                  <c:v>1180.5186000000001</c:v>
                </c:pt>
                <c:pt idx="7">
                  <c:v>1175.5736999999999</c:v>
                </c:pt>
                <c:pt idx="8">
                  <c:v>1169.1772000000001</c:v>
                </c:pt>
                <c:pt idx="9">
                  <c:v>1161.5170000000001</c:v>
                </c:pt>
                <c:pt idx="10">
                  <c:v>1152.8179</c:v>
                </c:pt>
                <c:pt idx="11">
                  <c:v>1143.3353999999999</c:v>
                </c:pt>
                <c:pt idx="12">
                  <c:v>1133.3479</c:v>
                </c:pt>
                <c:pt idx="13">
                  <c:v>1123.1485</c:v>
                </c:pt>
                <c:pt idx="14">
                  <c:v>1113.0364999999999</c:v>
                </c:pt>
                <c:pt idx="15">
                  <c:v>1103.3085000000001</c:v>
                </c:pt>
                <c:pt idx="16">
                  <c:v>1094.2493999999999</c:v>
                </c:pt>
                <c:pt idx="17">
                  <c:v>1086.1244999999999</c:v>
                </c:pt>
                <c:pt idx="18">
                  <c:v>1079.1712</c:v>
                </c:pt>
                <c:pt idx="19">
                  <c:v>1073.5921000000001</c:v>
                </c:pt>
                <c:pt idx="20">
                  <c:v>1069.5491999999999</c:v>
                </c:pt>
                <c:pt idx="21">
                  <c:v>1067.1587999999999</c:v>
                </c:pt>
                <c:pt idx="22">
                  <c:v>1066.4884999999999</c:v>
                </c:pt>
                <c:pt idx="23">
                  <c:v>1067.5547999999999</c:v>
                </c:pt>
                <c:pt idx="24">
                  <c:v>1070.3230000000001</c:v>
                </c:pt>
                <c:pt idx="25">
                  <c:v>1074.7082</c:v>
                </c:pt>
                <c:pt idx="26">
                  <c:v>1080.5777</c:v>
                </c:pt>
                <c:pt idx="27">
                  <c:v>1087.7555</c:v>
                </c:pt>
                <c:pt idx="28">
                  <c:v>1096.027</c:v>
                </c:pt>
                <c:pt idx="29">
                  <c:v>1105.146</c:v>
                </c:pt>
                <c:pt idx="30">
                  <c:v>1114.8416</c:v>
                </c:pt>
                <c:pt idx="31">
                  <c:v>1124.8269</c:v>
                </c:pt>
                <c:pt idx="32">
                  <c:v>1134.807</c:v>
                </c:pt>
                <c:pt idx="33">
                  <c:v>1144.4884</c:v>
                </c:pt>
                <c:pt idx="34">
                  <c:v>1153.5871</c:v>
                </c:pt>
                <c:pt idx="35">
                  <c:v>1161.8377</c:v>
                </c:pt>
                <c:pt idx="36">
                  <c:v>1169.0009</c:v>
                </c:pt>
                <c:pt idx="37">
                  <c:v>1174.8705</c:v>
                </c:pt>
                <c:pt idx="38">
                  <c:v>1179.2797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1E-4F33-92B9-73E2DF893C2F}"/>
            </c:ext>
          </c:extLst>
        </c:ser>
        <c:ser>
          <c:idx val="3"/>
          <c:order val="3"/>
          <c:tx>
            <c:strRef>
              <c:f>工作表1!$Z$1</c:f>
              <c:strCache>
                <c:ptCount val="1"/>
                <c:pt idx="0">
                  <c:v>Iout2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工作表1!$Z$2:$Z$40</c:f>
              <c:numCache>
                <c:formatCode>General</c:formatCode>
                <c:ptCount val="39"/>
                <c:pt idx="0">
                  <c:v>578.10310000000004</c:v>
                </c:pt>
                <c:pt idx="1">
                  <c:v>469.16230000000002</c:v>
                </c:pt>
                <c:pt idx="2">
                  <c:v>378.37729999999999</c:v>
                </c:pt>
                <c:pt idx="3">
                  <c:v>308.39659999999998</c:v>
                </c:pt>
                <c:pt idx="4">
                  <c:v>261.26080000000002</c:v>
                </c:pt>
                <c:pt idx="5">
                  <c:v>238.3426</c:v>
                </c:pt>
                <c:pt idx="6">
                  <c:v>240.30609999999999</c:v>
                </c:pt>
                <c:pt idx="7">
                  <c:v>267.08670000000001</c:v>
                </c:pt>
                <c:pt idx="8">
                  <c:v>317.8929</c:v>
                </c:pt>
                <c:pt idx="9">
                  <c:v>391.22919999999999</c:v>
                </c:pt>
                <c:pt idx="10">
                  <c:v>484.93970000000002</c:v>
                </c:pt>
                <c:pt idx="11">
                  <c:v>596.27170000000001</c:v>
                </c:pt>
                <c:pt idx="12">
                  <c:v>721.95609999999999</c:v>
                </c:pt>
                <c:pt idx="13">
                  <c:v>858.30399999999997</c:v>
                </c:pt>
                <c:pt idx="14">
                  <c:v>1001.3152</c:v>
                </c:pt>
                <c:pt idx="15">
                  <c:v>1146.796</c:v>
                </c:pt>
                <c:pt idx="16">
                  <c:v>1290.4831999999999</c:v>
                </c:pt>
                <c:pt idx="17">
                  <c:v>1428.1697999999999</c:v>
                </c:pt>
                <c:pt idx="18">
                  <c:v>1555.8290999999999</c:v>
                </c:pt>
                <c:pt idx="19">
                  <c:v>1669.7334000000001</c:v>
                </c:pt>
                <c:pt idx="20">
                  <c:v>1766.5644</c:v>
                </c:pt>
                <c:pt idx="21">
                  <c:v>1843.5102999999999</c:v>
                </c:pt>
                <c:pt idx="22">
                  <c:v>1898.3493000000001</c:v>
                </c:pt>
                <c:pt idx="23">
                  <c:v>1929.5139999999999</c:v>
                </c:pt>
                <c:pt idx="24">
                  <c:v>1936.1373000000001</c:v>
                </c:pt>
                <c:pt idx="25">
                  <c:v>1918.0773999999999</c:v>
                </c:pt>
                <c:pt idx="26">
                  <c:v>1875.9201</c:v>
                </c:pt>
                <c:pt idx="27">
                  <c:v>1810.9612</c:v>
                </c:pt>
                <c:pt idx="28">
                  <c:v>1725.1657</c:v>
                </c:pt>
                <c:pt idx="29">
                  <c:v>1621.1088</c:v>
                </c:pt>
                <c:pt idx="30">
                  <c:v>1501.8977</c:v>
                </c:pt>
                <c:pt idx="31">
                  <c:v>1371.078</c:v>
                </c:pt>
                <c:pt idx="32">
                  <c:v>1232.5272</c:v>
                </c:pt>
                <c:pt idx="33">
                  <c:v>1090.3384000000001</c:v>
                </c:pt>
                <c:pt idx="34">
                  <c:v>948.69780000000003</c:v>
                </c:pt>
                <c:pt idx="35">
                  <c:v>811.75990000000002</c:v>
                </c:pt>
                <c:pt idx="36">
                  <c:v>683.52390000000003</c:v>
                </c:pt>
                <c:pt idx="37">
                  <c:v>567.71489999999994</c:v>
                </c:pt>
                <c:pt idx="38">
                  <c:v>467.67419999999998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1E-4F33-92B9-73E2DF893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6810623"/>
        <c:axId val="1856811871"/>
      </c:lineChart>
      <c:catAx>
        <c:axId val="18568106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56811871"/>
        <c:crosses val="autoZero"/>
        <c:auto val="1"/>
        <c:lblAlgn val="ctr"/>
        <c:lblOffset val="100"/>
        <c:noMultiLvlLbl val="0"/>
      </c:catAx>
      <c:valAx>
        <c:axId val="185681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5681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濾波前 </a:t>
            </a:r>
            <a:r>
              <a:rPr lang="en-US" altLang="zh-TW"/>
              <a:t>vs </a:t>
            </a:r>
            <a:r>
              <a:rPr lang="zh-TW" altLang="en-US"/>
              <a:t>濾波後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工作表1!$A$1</c:f>
              <c:strCache>
                <c:ptCount val="1"/>
                <c:pt idx="0">
                  <c:v>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工作表1!$A$2:$A$79</c:f>
              <c:numCache>
                <c:formatCode>General</c:formatCode>
                <c:ptCount val="78"/>
                <c:pt idx="0">
                  <c:v>1112</c:v>
                </c:pt>
                <c:pt idx="1">
                  <c:v>1122</c:v>
                </c:pt>
                <c:pt idx="2">
                  <c:v>1126</c:v>
                </c:pt>
                <c:pt idx="3">
                  <c:v>1138</c:v>
                </c:pt>
                <c:pt idx="4">
                  <c:v>1147</c:v>
                </c:pt>
                <c:pt idx="5">
                  <c:v>1158</c:v>
                </c:pt>
                <c:pt idx="6">
                  <c:v>1161</c:v>
                </c:pt>
                <c:pt idx="7">
                  <c:v>1170</c:v>
                </c:pt>
                <c:pt idx="8">
                  <c:v>1178</c:v>
                </c:pt>
                <c:pt idx="9">
                  <c:v>1181</c:v>
                </c:pt>
                <c:pt idx="10">
                  <c:v>1183</c:v>
                </c:pt>
                <c:pt idx="11">
                  <c:v>1186</c:v>
                </c:pt>
                <c:pt idx="12">
                  <c:v>1185</c:v>
                </c:pt>
                <c:pt idx="13">
                  <c:v>1187</c:v>
                </c:pt>
                <c:pt idx="14">
                  <c:v>1183</c:v>
                </c:pt>
                <c:pt idx="15">
                  <c:v>1183</c:v>
                </c:pt>
                <c:pt idx="16">
                  <c:v>1176</c:v>
                </c:pt>
                <c:pt idx="17">
                  <c:v>1170</c:v>
                </c:pt>
                <c:pt idx="18">
                  <c:v>1167</c:v>
                </c:pt>
                <c:pt idx="19">
                  <c:v>1155</c:v>
                </c:pt>
                <c:pt idx="20">
                  <c:v>1147</c:v>
                </c:pt>
                <c:pt idx="21">
                  <c:v>1142</c:v>
                </c:pt>
                <c:pt idx="22">
                  <c:v>1130</c:v>
                </c:pt>
                <c:pt idx="23">
                  <c:v>1116</c:v>
                </c:pt>
                <c:pt idx="24">
                  <c:v>1109</c:v>
                </c:pt>
                <c:pt idx="25">
                  <c:v>1099</c:v>
                </c:pt>
                <c:pt idx="26">
                  <c:v>1094</c:v>
                </c:pt>
                <c:pt idx="27">
                  <c:v>1092</c:v>
                </c:pt>
                <c:pt idx="28">
                  <c:v>1085</c:v>
                </c:pt>
                <c:pt idx="29">
                  <c:v>1082</c:v>
                </c:pt>
                <c:pt idx="30">
                  <c:v>1082</c:v>
                </c:pt>
                <c:pt idx="31">
                  <c:v>1082</c:v>
                </c:pt>
                <c:pt idx="32">
                  <c:v>1084</c:v>
                </c:pt>
                <c:pt idx="33">
                  <c:v>1088</c:v>
                </c:pt>
                <c:pt idx="34">
                  <c:v>1096</c:v>
                </c:pt>
                <c:pt idx="35">
                  <c:v>1098</c:v>
                </c:pt>
                <c:pt idx="36">
                  <c:v>1106</c:v>
                </c:pt>
                <c:pt idx="37">
                  <c:v>1115</c:v>
                </c:pt>
                <c:pt idx="38">
                  <c:v>1119</c:v>
                </c:pt>
                <c:pt idx="39">
                  <c:v>1129</c:v>
                </c:pt>
                <c:pt idx="40">
                  <c:v>1138</c:v>
                </c:pt>
                <c:pt idx="41">
                  <c:v>1146</c:v>
                </c:pt>
                <c:pt idx="42">
                  <c:v>1154</c:v>
                </c:pt>
                <c:pt idx="43">
                  <c:v>1163</c:v>
                </c:pt>
                <c:pt idx="44">
                  <c:v>1171</c:v>
                </c:pt>
                <c:pt idx="45">
                  <c:v>1175</c:v>
                </c:pt>
                <c:pt idx="46">
                  <c:v>1179</c:v>
                </c:pt>
                <c:pt idx="47">
                  <c:v>1183</c:v>
                </c:pt>
                <c:pt idx="48">
                  <c:v>1183</c:v>
                </c:pt>
                <c:pt idx="49">
                  <c:v>1185</c:v>
                </c:pt>
                <c:pt idx="50">
                  <c:v>1186</c:v>
                </c:pt>
                <c:pt idx="51">
                  <c:v>1185</c:v>
                </c:pt>
                <c:pt idx="52">
                  <c:v>1179</c:v>
                </c:pt>
                <c:pt idx="53">
                  <c:v>1176</c:v>
                </c:pt>
                <c:pt idx="54">
                  <c:v>1173</c:v>
                </c:pt>
                <c:pt idx="55">
                  <c:v>1165</c:v>
                </c:pt>
                <c:pt idx="56">
                  <c:v>1156</c:v>
                </c:pt>
                <c:pt idx="57">
                  <c:v>1149</c:v>
                </c:pt>
                <c:pt idx="58">
                  <c:v>1137</c:v>
                </c:pt>
                <c:pt idx="59">
                  <c:v>1131</c:v>
                </c:pt>
                <c:pt idx="60">
                  <c:v>1118</c:v>
                </c:pt>
                <c:pt idx="61">
                  <c:v>1107</c:v>
                </c:pt>
                <c:pt idx="62">
                  <c:v>1099</c:v>
                </c:pt>
                <c:pt idx="63">
                  <c:v>1098</c:v>
                </c:pt>
                <c:pt idx="64">
                  <c:v>1091</c:v>
                </c:pt>
                <c:pt idx="65">
                  <c:v>1087</c:v>
                </c:pt>
                <c:pt idx="66">
                  <c:v>1085</c:v>
                </c:pt>
                <c:pt idx="67">
                  <c:v>1080</c:v>
                </c:pt>
                <c:pt idx="68">
                  <c:v>1082</c:v>
                </c:pt>
                <c:pt idx="69">
                  <c:v>1086</c:v>
                </c:pt>
                <c:pt idx="70">
                  <c:v>1091</c:v>
                </c:pt>
                <c:pt idx="71">
                  <c:v>1092</c:v>
                </c:pt>
                <c:pt idx="72">
                  <c:v>1099</c:v>
                </c:pt>
                <c:pt idx="73">
                  <c:v>1107</c:v>
                </c:pt>
                <c:pt idx="74">
                  <c:v>1113</c:v>
                </c:pt>
                <c:pt idx="75">
                  <c:v>1119</c:v>
                </c:pt>
                <c:pt idx="76">
                  <c:v>1129</c:v>
                </c:pt>
                <c:pt idx="77">
                  <c:v>1132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D9-4724-94FE-0757031B3104}"/>
            </c:ext>
          </c:extLst>
        </c:ser>
        <c:ser>
          <c:idx val="1"/>
          <c:order val="1"/>
          <c:tx>
            <c:strRef>
              <c:f>工作表1!$B$1</c:f>
              <c:strCache>
                <c:ptCount val="1"/>
                <c:pt idx="0">
                  <c:v>I2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工作表1!$B$2:$B$79</c:f>
              <c:numCache>
                <c:formatCode>General</c:formatCode>
                <c:ptCount val="78"/>
                <c:pt idx="0">
                  <c:v>1602</c:v>
                </c:pt>
                <c:pt idx="1">
                  <c:v>1514</c:v>
                </c:pt>
                <c:pt idx="2">
                  <c:v>1416</c:v>
                </c:pt>
                <c:pt idx="3">
                  <c:v>1303</c:v>
                </c:pt>
                <c:pt idx="4">
                  <c:v>1194</c:v>
                </c:pt>
                <c:pt idx="5">
                  <c:v>1063</c:v>
                </c:pt>
                <c:pt idx="6">
                  <c:v>956</c:v>
                </c:pt>
                <c:pt idx="7">
                  <c:v>844</c:v>
                </c:pt>
                <c:pt idx="8">
                  <c:v>730</c:v>
                </c:pt>
                <c:pt idx="9">
                  <c:v>629</c:v>
                </c:pt>
                <c:pt idx="10">
                  <c:v>534</c:v>
                </c:pt>
                <c:pt idx="11">
                  <c:v>452</c:v>
                </c:pt>
                <c:pt idx="12">
                  <c:v>403</c:v>
                </c:pt>
                <c:pt idx="13">
                  <c:v>375</c:v>
                </c:pt>
                <c:pt idx="14">
                  <c:v>370</c:v>
                </c:pt>
                <c:pt idx="15">
                  <c:v>378</c:v>
                </c:pt>
                <c:pt idx="16">
                  <c:v>402</c:v>
                </c:pt>
                <c:pt idx="17">
                  <c:v>436</c:v>
                </c:pt>
                <c:pt idx="18">
                  <c:v>491</c:v>
                </c:pt>
                <c:pt idx="19">
                  <c:v>563</c:v>
                </c:pt>
                <c:pt idx="20">
                  <c:v>648</c:v>
                </c:pt>
                <c:pt idx="21">
                  <c:v>748</c:v>
                </c:pt>
                <c:pt idx="22">
                  <c:v>860</c:v>
                </c:pt>
                <c:pt idx="23">
                  <c:v>1100</c:v>
                </c:pt>
                <c:pt idx="24">
                  <c:v>1197</c:v>
                </c:pt>
                <c:pt idx="25">
                  <c:v>1310</c:v>
                </c:pt>
                <c:pt idx="26">
                  <c:v>1430</c:v>
                </c:pt>
                <c:pt idx="27">
                  <c:v>1533</c:v>
                </c:pt>
                <c:pt idx="28">
                  <c:v>1629</c:v>
                </c:pt>
                <c:pt idx="29">
                  <c:v>1704</c:v>
                </c:pt>
                <c:pt idx="30">
                  <c:v>1754</c:v>
                </c:pt>
                <c:pt idx="31">
                  <c:v>1778</c:v>
                </c:pt>
                <c:pt idx="32">
                  <c:v>1783</c:v>
                </c:pt>
                <c:pt idx="33">
                  <c:v>1775</c:v>
                </c:pt>
                <c:pt idx="34">
                  <c:v>1752</c:v>
                </c:pt>
                <c:pt idx="35">
                  <c:v>1714</c:v>
                </c:pt>
                <c:pt idx="36">
                  <c:v>1662</c:v>
                </c:pt>
                <c:pt idx="37">
                  <c:v>1595</c:v>
                </c:pt>
                <c:pt idx="38">
                  <c:v>1503</c:v>
                </c:pt>
                <c:pt idx="39">
                  <c:v>1407</c:v>
                </c:pt>
                <c:pt idx="40">
                  <c:v>1301</c:v>
                </c:pt>
                <c:pt idx="41">
                  <c:v>1194</c:v>
                </c:pt>
                <c:pt idx="42">
                  <c:v>1064</c:v>
                </c:pt>
                <c:pt idx="43">
                  <c:v>971</c:v>
                </c:pt>
                <c:pt idx="44">
                  <c:v>849</c:v>
                </c:pt>
                <c:pt idx="45">
                  <c:v>735</c:v>
                </c:pt>
                <c:pt idx="46">
                  <c:v>635</c:v>
                </c:pt>
                <c:pt idx="47">
                  <c:v>542</c:v>
                </c:pt>
                <c:pt idx="48">
                  <c:v>463</c:v>
                </c:pt>
                <c:pt idx="49">
                  <c:v>413</c:v>
                </c:pt>
                <c:pt idx="50">
                  <c:v>385</c:v>
                </c:pt>
                <c:pt idx="51">
                  <c:v>377</c:v>
                </c:pt>
                <c:pt idx="52">
                  <c:v>389</c:v>
                </c:pt>
                <c:pt idx="53">
                  <c:v>406</c:v>
                </c:pt>
                <c:pt idx="54">
                  <c:v>443</c:v>
                </c:pt>
                <c:pt idx="55">
                  <c:v>495</c:v>
                </c:pt>
                <c:pt idx="56">
                  <c:v>570</c:v>
                </c:pt>
                <c:pt idx="57">
                  <c:v>653</c:v>
                </c:pt>
                <c:pt idx="58">
                  <c:v>754</c:v>
                </c:pt>
                <c:pt idx="59">
                  <c:v>968</c:v>
                </c:pt>
                <c:pt idx="60">
                  <c:v>1086</c:v>
                </c:pt>
                <c:pt idx="61">
                  <c:v>1187</c:v>
                </c:pt>
                <c:pt idx="62">
                  <c:v>1320</c:v>
                </c:pt>
                <c:pt idx="63">
                  <c:v>1432</c:v>
                </c:pt>
                <c:pt idx="64">
                  <c:v>1535</c:v>
                </c:pt>
                <c:pt idx="65">
                  <c:v>1635</c:v>
                </c:pt>
                <c:pt idx="66">
                  <c:v>1711</c:v>
                </c:pt>
                <c:pt idx="67">
                  <c:v>1764</c:v>
                </c:pt>
                <c:pt idx="68">
                  <c:v>1795</c:v>
                </c:pt>
                <c:pt idx="69">
                  <c:v>1806</c:v>
                </c:pt>
                <c:pt idx="70">
                  <c:v>1791</c:v>
                </c:pt>
                <c:pt idx="71">
                  <c:v>1773</c:v>
                </c:pt>
                <c:pt idx="72">
                  <c:v>1735</c:v>
                </c:pt>
                <c:pt idx="73">
                  <c:v>1683</c:v>
                </c:pt>
                <c:pt idx="74">
                  <c:v>1614</c:v>
                </c:pt>
                <c:pt idx="75">
                  <c:v>1530</c:v>
                </c:pt>
                <c:pt idx="76">
                  <c:v>1430</c:v>
                </c:pt>
                <c:pt idx="77">
                  <c:v>1319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D9-4724-94FE-0757031B3104}"/>
            </c:ext>
          </c:extLst>
        </c:ser>
        <c:ser>
          <c:idx val="2"/>
          <c:order val="2"/>
          <c:tx>
            <c:strRef>
              <c:f>工作表1!$C$1</c:f>
              <c:strCache>
                <c:ptCount val="1"/>
                <c:pt idx="0">
                  <c:v>Vout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工作表1!$C$2:$C$79</c:f>
              <c:numCache>
                <c:formatCode>General</c:formatCode>
                <c:ptCount val="78"/>
                <c:pt idx="0">
                  <c:v>1109.8294000000001</c:v>
                </c:pt>
                <c:pt idx="1">
                  <c:v>1120.5346</c:v>
                </c:pt>
                <c:pt idx="2">
                  <c:v>1131.1602</c:v>
                </c:pt>
                <c:pt idx="3">
                  <c:v>1141.4784</c:v>
                </c:pt>
                <c:pt idx="4">
                  <c:v>1151.2663</c:v>
                </c:pt>
                <c:pt idx="5">
                  <c:v>1160.3116</c:v>
                </c:pt>
                <c:pt idx="6">
                  <c:v>1168.4181000000001</c:v>
                </c:pt>
                <c:pt idx="7">
                  <c:v>1175.4110000000001</c:v>
                </c:pt>
                <c:pt idx="8">
                  <c:v>1181.1414</c:v>
                </c:pt>
                <c:pt idx="9">
                  <c:v>1185.4908</c:v>
                </c:pt>
                <c:pt idx="10">
                  <c:v>1188.374</c:v>
                </c:pt>
                <c:pt idx="11">
                  <c:v>1189.7415000000001</c:v>
                </c:pt>
                <c:pt idx="12">
                  <c:v>1189.5814</c:v>
                </c:pt>
                <c:pt idx="13">
                  <c:v>1187.92</c:v>
                </c:pt>
                <c:pt idx="14">
                  <c:v>1184.8209999999999</c:v>
                </c:pt>
                <c:pt idx="15">
                  <c:v>1180.384</c:v>
                </c:pt>
                <c:pt idx="16">
                  <c:v>1174.7428</c:v>
                </c:pt>
                <c:pt idx="17">
                  <c:v>1168.0613000000001</c:v>
                </c:pt>
                <c:pt idx="18">
                  <c:v>1160.5297</c:v>
                </c:pt>
                <c:pt idx="19">
                  <c:v>1152.3596</c:v>
                </c:pt>
                <c:pt idx="20">
                  <c:v>1143.7784999999999</c:v>
                </c:pt>
                <c:pt idx="21">
                  <c:v>1135.0237</c:v>
                </c:pt>
                <c:pt idx="22">
                  <c:v>1126.3362999999999</c:v>
                </c:pt>
                <c:pt idx="23">
                  <c:v>1117.9546</c:v>
                </c:pt>
                <c:pt idx="24">
                  <c:v>1110.1078</c:v>
                </c:pt>
                <c:pt idx="25">
                  <c:v>1103.01</c:v>
                </c:pt>
                <c:pt idx="26">
                  <c:v>1096.8543</c:v>
                </c:pt>
                <c:pt idx="27">
                  <c:v>1091.8076000000001</c:v>
                </c:pt>
                <c:pt idx="28">
                  <c:v>1088.0062</c:v>
                </c:pt>
                <c:pt idx="29">
                  <c:v>1085.5518999999999</c:v>
                </c:pt>
                <c:pt idx="30">
                  <c:v>1084.5093999999999</c:v>
                </c:pt>
                <c:pt idx="31">
                  <c:v>1084.9045000000001</c:v>
                </c:pt>
                <c:pt idx="32">
                  <c:v>1086.7231999999999</c:v>
                </c:pt>
                <c:pt idx="33">
                  <c:v>1089.9122</c:v>
                </c:pt>
                <c:pt idx="34">
                  <c:v>1094.3804</c:v>
                </c:pt>
                <c:pt idx="35">
                  <c:v>1100.0011999999999</c:v>
                </c:pt>
                <c:pt idx="36">
                  <c:v>1106.616</c:v>
                </c:pt>
                <c:pt idx="37">
                  <c:v>1114.0387000000001</c:v>
                </c:pt>
                <c:pt idx="38">
                  <c:v>1122.0607</c:v>
                </c:pt>
                <c:pt idx="39">
                  <c:v>1130.4567</c:v>
                </c:pt>
                <c:pt idx="40">
                  <c:v>1138.991</c:v>
                </c:pt>
                <c:pt idx="41">
                  <c:v>1147.4237000000001</c:v>
                </c:pt>
                <c:pt idx="42">
                  <c:v>1155.5181</c:v>
                </c:pt>
                <c:pt idx="43">
                  <c:v>1163.0463999999999</c:v>
                </c:pt>
                <c:pt idx="44">
                  <c:v>1169.7969000000001</c:v>
                </c:pt>
                <c:pt idx="45">
                  <c:v>1175.5794000000001</c:v>
                </c:pt>
                <c:pt idx="46">
                  <c:v>1180.2308</c:v>
                </c:pt>
                <c:pt idx="47">
                  <c:v>1183.6196</c:v>
                </c:pt>
                <c:pt idx="48">
                  <c:v>1185.6496999999999</c:v>
                </c:pt>
                <c:pt idx="49">
                  <c:v>1186.2632000000001</c:v>
                </c:pt>
                <c:pt idx="50">
                  <c:v>1185.442</c:v>
                </c:pt>
                <c:pt idx="51">
                  <c:v>1183.2084</c:v>
                </c:pt>
                <c:pt idx="52">
                  <c:v>1179.6246000000001</c:v>
                </c:pt>
                <c:pt idx="53">
                  <c:v>1174.7909</c:v>
                </c:pt>
                <c:pt idx="54">
                  <c:v>1168.8432</c:v>
                </c:pt>
                <c:pt idx="55">
                  <c:v>1161.9486999999999</c:v>
                </c:pt>
                <c:pt idx="56">
                  <c:v>1154.3019999999999</c:v>
                </c:pt>
                <c:pt idx="57">
                  <c:v>1146.1188</c:v>
                </c:pt>
                <c:pt idx="58">
                  <c:v>1137.6306</c:v>
                </c:pt>
                <c:pt idx="59">
                  <c:v>1129.0777</c:v>
                </c:pt>
                <c:pt idx="60">
                  <c:v>1120.7027</c:v>
                </c:pt>
                <c:pt idx="61">
                  <c:v>1112.7431999999999</c:v>
                </c:pt>
                <c:pt idx="62">
                  <c:v>1105.4257</c:v>
                </c:pt>
                <c:pt idx="63">
                  <c:v>1098.9585999999999</c:v>
                </c:pt>
                <c:pt idx="64">
                  <c:v>1093.5264999999999</c:v>
                </c:pt>
                <c:pt idx="65">
                  <c:v>1089.2849000000001</c:v>
                </c:pt>
                <c:pt idx="66">
                  <c:v>1086.3559</c:v>
                </c:pt>
                <c:pt idx="67">
                  <c:v>1084.8241</c:v>
                </c:pt>
                <c:pt idx="68">
                  <c:v>1084.7348999999999</c:v>
                </c:pt>
                <c:pt idx="69">
                  <c:v>1086.0925999999999</c:v>
                </c:pt>
                <c:pt idx="70">
                  <c:v>1088.8602000000001</c:v>
                </c:pt>
                <c:pt idx="71">
                  <c:v>1092.961</c:v>
                </c:pt>
                <c:pt idx="72">
                  <c:v>1098.2799</c:v>
                </c:pt>
                <c:pt idx="73">
                  <c:v>1104.6669999999999</c:v>
                </c:pt>
                <c:pt idx="74">
                  <c:v>1111.9419</c:v>
                </c:pt>
                <c:pt idx="75">
                  <c:v>1119.8987999999999</c:v>
                </c:pt>
                <c:pt idx="76">
                  <c:v>1128.3118999999999</c:v>
                </c:pt>
                <c:pt idx="77">
                  <c:v>1136.9425000000001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D9-4724-94FE-0757031B3104}"/>
            </c:ext>
          </c:extLst>
        </c:ser>
        <c:ser>
          <c:idx val="3"/>
          <c:order val="3"/>
          <c:tx>
            <c:strRef>
              <c:f>工作表1!$D$1</c:f>
              <c:strCache>
                <c:ptCount val="1"/>
                <c:pt idx="0">
                  <c:v>Iout2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工作表1!$D$2:$D$79</c:f>
              <c:numCache>
                <c:formatCode>General</c:formatCode>
                <c:ptCount val="78"/>
                <c:pt idx="0">
                  <c:v>1653.8538000000001</c:v>
                </c:pt>
                <c:pt idx="1">
                  <c:v>1500.1655000000001</c:v>
                </c:pt>
                <c:pt idx="2">
                  <c:v>1346.7871</c:v>
                </c:pt>
                <c:pt idx="3">
                  <c:v>1196.3699999999999</c:v>
                </c:pt>
                <c:pt idx="4">
                  <c:v>1051.5482</c:v>
                </c:pt>
                <c:pt idx="5">
                  <c:v>914.87950000000001</c:v>
                </c:pt>
                <c:pt idx="6">
                  <c:v>788.78830000000005</c:v>
                </c:pt>
                <c:pt idx="7">
                  <c:v>675.50869999999998</c:v>
                </c:pt>
                <c:pt idx="8">
                  <c:v>577.03179999999998</c:v>
                </c:pt>
                <c:pt idx="9">
                  <c:v>495.05680000000001</c:v>
                </c:pt>
                <c:pt idx="10">
                  <c:v>430.94819999999999</c:v>
                </c:pt>
                <c:pt idx="11">
                  <c:v>385.69990000000001</c:v>
                </c:pt>
                <c:pt idx="12">
                  <c:v>359.90649999999999</c:v>
                </c:pt>
                <c:pt idx="13">
                  <c:v>353.74470000000002</c:v>
                </c:pt>
                <c:pt idx="14">
                  <c:v>366.96280000000002</c:v>
                </c:pt>
                <c:pt idx="15">
                  <c:v>398.88159999999999</c:v>
                </c:pt>
                <c:pt idx="16">
                  <c:v>448.40390000000002</c:v>
                </c:pt>
                <c:pt idx="17">
                  <c:v>514.03589999999997</c:v>
                </c:pt>
                <c:pt idx="18">
                  <c:v>593.9171</c:v>
                </c:pt>
                <c:pt idx="19">
                  <c:v>685.86059999999998</c:v>
                </c:pt>
                <c:pt idx="20">
                  <c:v>787.40170000000001</c:v>
                </c:pt>
                <c:pt idx="21">
                  <c:v>895.85360000000003</c:v>
                </c:pt>
                <c:pt idx="22">
                  <c:v>1008.3708</c:v>
                </c:pt>
                <c:pt idx="23">
                  <c:v>1122.0157999999999</c:v>
                </c:pt>
                <c:pt idx="24">
                  <c:v>1233.8306</c:v>
                </c:pt>
                <c:pt idx="25">
                  <c:v>1340.9090000000001</c:v>
                </c:pt>
                <c:pt idx="26">
                  <c:v>1440.4686999999999</c:v>
                </c:pt>
                <c:pt idx="27">
                  <c:v>1529.9218000000001</c:v>
                </c:pt>
                <c:pt idx="28">
                  <c:v>1606.9411</c:v>
                </c:pt>
                <c:pt idx="29">
                  <c:v>1669.5201999999999</c:v>
                </c:pt>
                <c:pt idx="30">
                  <c:v>1716.0272</c:v>
                </c:pt>
                <c:pt idx="31">
                  <c:v>1745.2488000000001</c:v>
                </c:pt>
                <c:pt idx="32">
                  <c:v>1756.4239</c:v>
                </c:pt>
                <c:pt idx="33">
                  <c:v>1749.2668000000001</c:v>
                </c:pt>
                <c:pt idx="34">
                  <c:v>1723.9772</c:v>
                </c:pt>
                <c:pt idx="35">
                  <c:v>1681.2381</c:v>
                </c:pt>
                <c:pt idx="36">
                  <c:v>1622.2012</c:v>
                </c:pt>
                <c:pt idx="37">
                  <c:v>1548.4589000000001</c:v>
                </c:pt>
                <c:pt idx="38">
                  <c:v>1462.0051000000001</c:v>
                </c:pt>
                <c:pt idx="39">
                  <c:v>1365.1840999999999</c:v>
                </c:pt>
                <c:pt idx="40">
                  <c:v>1260.6303</c:v>
                </c:pt>
                <c:pt idx="41">
                  <c:v>1151.1985999999999</c:v>
                </c:pt>
                <c:pt idx="42">
                  <c:v>1039.8887</c:v>
                </c:pt>
                <c:pt idx="43">
                  <c:v>929.7645</c:v>
                </c:pt>
                <c:pt idx="44">
                  <c:v>823.87109999999996</c:v>
                </c:pt>
                <c:pt idx="45">
                  <c:v>725.15089999999998</c:v>
                </c:pt>
                <c:pt idx="46">
                  <c:v>636.36279999999999</c:v>
                </c:pt>
                <c:pt idx="47">
                  <c:v>560.00450000000001</c:v>
                </c:pt>
                <c:pt idx="48">
                  <c:v>498.24189999999999</c:v>
                </c:pt>
                <c:pt idx="49">
                  <c:v>452.84710000000001</c:v>
                </c:pt>
                <c:pt idx="50">
                  <c:v>425.14679999999998</c:v>
                </c:pt>
                <c:pt idx="51">
                  <c:v>415.98180000000002</c:v>
                </c:pt>
                <c:pt idx="52">
                  <c:v>425.68110000000001</c:v>
                </c:pt>
                <c:pt idx="53">
                  <c:v>454.0489</c:v>
                </c:pt>
                <c:pt idx="54">
                  <c:v>500.36680000000001</c:v>
                </c:pt>
                <c:pt idx="55">
                  <c:v>563.41070000000002</c:v>
                </c:pt>
                <c:pt idx="56">
                  <c:v>641.48130000000003</c:v>
                </c:pt>
                <c:pt idx="57">
                  <c:v>732.44979999999998</c:v>
                </c:pt>
                <c:pt idx="58">
                  <c:v>833.81420000000003</c:v>
                </c:pt>
                <c:pt idx="59">
                  <c:v>942.76819999999998</c:v>
                </c:pt>
                <c:pt idx="60">
                  <c:v>1056.2779</c:v>
                </c:pt>
                <c:pt idx="61">
                  <c:v>1171.1668999999999</c:v>
                </c:pt>
                <c:pt idx="62">
                  <c:v>1284.2045000000001</c:v>
                </c:pt>
                <c:pt idx="63">
                  <c:v>1392.1976999999999</c:v>
                </c:pt>
                <c:pt idx="64">
                  <c:v>1492.0811000000001</c:v>
                </c:pt>
                <c:pt idx="65">
                  <c:v>1581.0053</c:v>
                </c:pt>
                <c:pt idx="66">
                  <c:v>1656.4183</c:v>
                </c:pt>
                <c:pt idx="67">
                  <c:v>1716.1404</c:v>
                </c:pt>
                <c:pt idx="68">
                  <c:v>1758.4273000000001</c:v>
                </c:pt>
                <c:pt idx="69">
                  <c:v>1782.0225</c:v>
                </c:pt>
                <c:pt idx="70">
                  <c:v>1786.1953000000001</c:v>
                </c:pt>
                <c:pt idx="71">
                  <c:v>1770.7641000000001</c:v>
                </c:pt>
                <c:pt idx="72">
                  <c:v>1736.104</c:v>
                </c:pt>
                <c:pt idx="73">
                  <c:v>1683.1387999999999</c:v>
                </c:pt>
                <c:pt idx="74">
                  <c:v>1613.3167000000001</c:v>
                </c:pt>
                <c:pt idx="75">
                  <c:v>1528.5710999999999</c:v>
                </c:pt>
                <c:pt idx="76">
                  <c:v>1431.2674999999999</c:v>
                </c:pt>
                <c:pt idx="77">
                  <c:v>1324.1369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D9-4724-94FE-0757031B3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8041424"/>
        <c:axId val="1488050992"/>
      </c:lineChart>
      <c:catAx>
        <c:axId val="1488041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資料筆數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88050992"/>
        <c:crosses val="autoZero"/>
        <c:auto val="1"/>
        <c:lblAlgn val="ctr"/>
        <c:lblOffset val="100"/>
        <c:noMultiLvlLbl val="0"/>
      </c:catAx>
      <c:valAx>
        <c:axId val="148805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ADC</a:t>
                </a:r>
                <a:r>
                  <a:rPr lang="zh-TW" altLang="en-US"/>
                  <a:t>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8804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輸出電壓、電流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工作表1!$C$1</c:f>
              <c:strCache>
                <c:ptCount val="1"/>
                <c:pt idx="0">
                  <c:v>Vout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工作表1!$C$2:$C$39</c:f>
              <c:numCache>
                <c:formatCode>General</c:formatCode>
                <c:ptCount val="38"/>
                <c:pt idx="0">
                  <c:v>1109.8294000000001</c:v>
                </c:pt>
                <c:pt idx="1">
                  <c:v>1120.5346</c:v>
                </c:pt>
                <c:pt idx="2">
                  <c:v>1131.1602</c:v>
                </c:pt>
                <c:pt idx="3">
                  <c:v>1141.4784</c:v>
                </c:pt>
                <c:pt idx="4">
                  <c:v>1151.2663</c:v>
                </c:pt>
                <c:pt idx="5">
                  <c:v>1160.3116</c:v>
                </c:pt>
                <c:pt idx="6">
                  <c:v>1168.4181000000001</c:v>
                </c:pt>
                <c:pt idx="7">
                  <c:v>1175.4110000000001</c:v>
                </c:pt>
                <c:pt idx="8">
                  <c:v>1181.1414</c:v>
                </c:pt>
                <c:pt idx="9">
                  <c:v>1185.4908</c:v>
                </c:pt>
                <c:pt idx="10">
                  <c:v>1188.374</c:v>
                </c:pt>
                <c:pt idx="11">
                  <c:v>1189.7415000000001</c:v>
                </c:pt>
                <c:pt idx="12">
                  <c:v>1189.5814</c:v>
                </c:pt>
                <c:pt idx="13">
                  <c:v>1187.92</c:v>
                </c:pt>
                <c:pt idx="14">
                  <c:v>1184.8209999999999</c:v>
                </c:pt>
                <c:pt idx="15">
                  <c:v>1180.384</c:v>
                </c:pt>
                <c:pt idx="16">
                  <c:v>1174.7428</c:v>
                </c:pt>
                <c:pt idx="17">
                  <c:v>1168.0613000000001</c:v>
                </c:pt>
                <c:pt idx="18">
                  <c:v>1160.5297</c:v>
                </c:pt>
                <c:pt idx="19">
                  <c:v>1152.3596</c:v>
                </c:pt>
                <c:pt idx="20">
                  <c:v>1143.7784999999999</c:v>
                </c:pt>
                <c:pt idx="21">
                  <c:v>1135.0237</c:v>
                </c:pt>
                <c:pt idx="22">
                  <c:v>1126.3362999999999</c:v>
                </c:pt>
                <c:pt idx="23">
                  <c:v>1117.9546</c:v>
                </c:pt>
                <c:pt idx="24">
                  <c:v>1110.1078</c:v>
                </c:pt>
                <c:pt idx="25">
                  <c:v>1103.01</c:v>
                </c:pt>
                <c:pt idx="26">
                  <c:v>1096.8543</c:v>
                </c:pt>
                <c:pt idx="27">
                  <c:v>1091.8076000000001</c:v>
                </c:pt>
                <c:pt idx="28">
                  <c:v>1088.0062</c:v>
                </c:pt>
                <c:pt idx="29">
                  <c:v>1085.5518999999999</c:v>
                </c:pt>
                <c:pt idx="30">
                  <c:v>1084.5093999999999</c:v>
                </c:pt>
                <c:pt idx="31">
                  <c:v>1084.9045000000001</c:v>
                </c:pt>
                <c:pt idx="32">
                  <c:v>1086.7231999999999</c:v>
                </c:pt>
                <c:pt idx="33">
                  <c:v>1089.9122</c:v>
                </c:pt>
                <c:pt idx="34">
                  <c:v>1094.3804</c:v>
                </c:pt>
                <c:pt idx="35">
                  <c:v>1100.0011999999999</c:v>
                </c:pt>
                <c:pt idx="36">
                  <c:v>1106.616</c:v>
                </c:pt>
                <c:pt idx="37">
                  <c:v>1114.0387000000001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E0-45CE-AC03-C08291A15B85}"/>
            </c:ext>
          </c:extLst>
        </c:ser>
        <c:ser>
          <c:idx val="1"/>
          <c:order val="1"/>
          <c:tx>
            <c:strRef>
              <c:f>工作表1!$D$1</c:f>
              <c:strCache>
                <c:ptCount val="1"/>
                <c:pt idx="0">
                  <c:v>Iout2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工作表1!$D$2:$D$39</c:f>
              <c:numCache>
                <c:formatCode>General</c:formatCode>
                <c:ptCount val="38"/>
                <c:pt idx="0">
                  <c:v>1653.8538000000001</c:v>
                </c:pt>
                <c:pt idx="1">
                  <c:v>1500.1655000000001</c:v>
                </c:pt>
                <c:pt idx="2">
                  <c:v>1346.7871</c:v>
                </c:pt>
                <c:pt idx="3">
                  <c:v>1196.3699999999999</c:v>
                </c:pt>
                <c:pt idx="4">
                  <c:v>1051.5482</c:v>
                </c:pt>
                <c:pt idx="5">
                  <c:v>914.87950000000001</c:v>
                </c:pt>
                <c:pt idx="6">
                  <c:v>788.78830000000005</c:v>
                </c:pt>
                <c:pt idx="7">
                  <c:v>675.50869999999998</c:v>
                </c:pt>
                <c:pt idx="8">
                  <c:v>577.03179999999998</c:v>
                </c:pt>
                <c:pt idx="9">
                  <c:v>495.05680000000001</c:v>
                </c:pt>
                <c:pt idx="10">
                  <c:v>430.94819999999999</c:v>
                </c:pt>
                <c:pt idx="11">
                  <c:v>385.69990000000001</c:v>
                </c:pt>
                <c:pt idx="12">
                  <c:v>359.90649999999999</c:v>
                </c:pt>
                <c:pt idx="13">
                  <c:v>353.74470000000002</c:v>
                </c:pt>
                <c:pt idx="14">
                  <c:v>366.96280000000002</c:v>
                </c:pt>
                <c:pt idx="15">
                  <c:v>398.88159999999999</c:v>
                </c:pt>
                <c:pt idx="16">
                  <c:v>448.40390000000002</c:v>
                </c:pt>
                <c:pt idx="17">
                  <c:v>514.03589999999997</c:v>
                </c:pt>
                <c:pt idx="18">
                  <c:v>593.9171</c:v>
                </c:pt>
                <c:pt idx="19">
                  <c:v>685.86059999999998</c:v>
                </c:pt>
                <c:pt idx="20">
                  <c:v>787.40170000000001</c:v>
                </c:pt>
                <c:pt idx="21">
                  <c:v>895.85360000000003</c:v>
                </c:pt>
                <c:pt idx="22">
                  <c:v>1008.3708</c:v>
                </c:pt>
                <c:pt idx="23">
                  <c:v>1122.0157999999999</c:v>
                </c:pt>
                <c:pt idx="24">
                  <c:v>1233.8306</c:v>
                </c:pt>
                <c:pt idx="25">
                  <c:v>1340.9090000000001</c:v>
                </c:pt>
                <c:pt idx="26">
                  <c:v>1440.4686999999999</c:v>
                </c:pt>
                <c:pt idx="27">
                  <c:v>1529.9218000000001</c:v>
                </c:pt>
                <c:pt idx="28">
                  <c:v>1606.9411</c:v>
                </c:pt>
                <c:pt idx="29">
                  <c:v>1669.5201999999999</c:v>
                </c:pt>
                <c:pt idx="30">
                  <c:v>1716.0272</c:v>
                </c:pt>
                <c:pt idx="31">
                  <c:v>1745.2488000000001</c:v>
                </c:pt>
                <c:pt idx="32">
                  <c:v>1756.4239</c:v>
                </c:pt>
                <c:pt idx="33">
                  <c:v>1749.2668000000001</c:v>
                </c:pt>
                <c:pt idx="34">
                  <c:v>1723.9772</c:v>
                </c:pt>
                <c:pt idx="35">
                  <c:v>1681.2381</c:v>
                </c:pt>
                <c:pt idx="36">
                  <c:v>1622.2012</c:v>
                </c:pt>
                <c:pt idx="37">
                  <c:v>1548.4589000000001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E0-45CE-AC03-C08291A15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00608"/>
        <c:axId val="1616005600"/>
      </c:lineChart>
      <c:catAx>
        <c:axId val="161600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資料筆數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6005600"/>
        <c:crosses val="autoZero"/>
        <c:auto val="1"/>
        <c:lblAlgn val="ctr"/>
        <c:lblOffset val="100"/>
        <c:noMultiLvlLbl val="0"/>
      </c:catAx>
      <c:valAx>
        <c:axId val="161600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ADC</a:t>
                </a:r>
                <a:r>
                  <a:rPr lang="zh-TW" altLang="en-US"/>
                  <a:t>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600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ADC_Read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工作表1!$BE$1</c:f>
              <c:strCache>
                <c:ptCount val="1"/>
                <c:pt idx="0">
                  <c:v>Vout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工作表1!$BE$101:$BE$501</c:f>
              <c:numCache>
                <c:formatCode>General</c:formatCode>
                <c:ptCount val="401"/>
                <c:pt idx="0">
                  <c:v>1142.6808000000001</c:v>
                </c:pt>
                <c:pt idx="1">
                  <c:v>1134.6947</c:v>
                </c:pt>
                <c:pt idx="2">
                  <c:v>1127.0081</c:v>
                </c:pt>
                <c:pt idx="3">
                  <c:v>1119.8425</c:v>
                </c:pt>
                <c:pt idx="4">
                  <c:v>1113.405</c:v>
                </c:pt>
                <c:pt idx="5">
                  <c:v>1107.8816999999999</c:v>
                </c:pt>
                <c:pt idx="6">
                  <c:v>1103.4328</c:v>
                </c:pt>
                <c:pt idx="7">
                  <c:v>1100.1878999999999</c:v>
                </c:pt>
                <c:pt idx="8">
                  <c:v>1098.2419</c:v>
                </c:pt>
                <c:pt idx="9">
                  <c:v>1097.6523</c:v>
                </c:pt>
                <c:pt idx="10">
                  <c:v>1098.4376999999999</c:v>
                </c:pt>
                <c:pt idx="11">
                  <c:v>1100.577</c:v>
                </c:pt>
                <c:pt idx="12">
                  <c:v>1104.0101</c:v>
                </c:pt>
                <c:pt idx="13">
                  <c:v>1108.6394</c:v>
                </c:pt>
                <c:pt idx="14">
                  <c:v>1114.3329000000001</c:v>
                </c:pt>
                <c:pt idx="15">
                  <c:v>1120.9275</c:v>
                </c:pt>
                <c:pt idx="16">
                  <c:v>1128.2342000000001</c:v>
                </c:pt>
                <c:pt idx="17">
                  <c:v>1136.0432000000001</c:v>
                </c:pt>
                <c:pt idx="18">
                  <c:v>1144.1300000000001</c:v>
                </c:pt>
                <c:pt idx="19">
                  <c:v>1152.2620999999999</c:v>
                </c:pt>
                <c:pt idx="20">
                  <c:v>1160.2053000000001</c:v>
                </c:pt>
                <c:pt idx="21">
                  <c:v>1167.7307000000001</c:v>
                </c:pt>
                <c:pt idx="22">
                  <c:v>1174.6215</c:v>
                </c:pt>
                <c:pt idx="23">
                  <c:v>1180.6789000000001</c:v>
                </c:pt>
                <c:pt idx="24">
                  <c:v>1185.7279000000001</c:v>
                </c:pt>
                <c:pt idx="25">
                  <c:v>1189.6226999999999</c:v>
                </c:pt>
                <c:pt idx="26">
                  <c:v>1192.2505000000001</c:v>
                </c:pt>
                <c:pt idx="27">
                  <c:v>1193.5351000000001</c:v>
                </c:pt>
                <c:pt idx="28">
                  <c:v>1193.4386999999999</c:v>
                </c:pt>
                <c:pt idx="29">
                  <c:v>1191.9636</c:v>
                </c:pt>
                <c:pt idx="30">
                  <c:v>1189.1514999999999</c:v>
                </c:pt>
                <c:pt idx="31">
                  <c:v>1185.0826999999999</c:v>
                </c:pt>
                <c:pt idx="32">
                  <c:v>1179.8739</c:v>
                </c:pt>
                <c:pt idx="33">
                  <c:v>1173.6744000000001</c:v>
                </c:pt>
                <c:pt idx="34">
                  <c:v>1166.6622</c:v>
                </c:pt>
                <c:pt idx="35">
                  <c:v>1159.0385000000001</c:v>
                </c:pt>
                <c:pt idx="36">
                  <c:v>1151.0225</c:v>
                </c:pt>
                <c:pt idx="37">
                  <c:v>1142.8444999999999</c:v>
                </c:pt>
                <c:pt idx="38">
                  <c:v>1134.7396000000001</c:v>
                </c:pt>
                <c:pt idx="39">
                  <c:v>1126.9407000000001</c:v>
                </c:pt>
                <c:pt idx="40">
                  <c:v>1119.672</c:v>
                </c:pt>
                <c:pt idx="41">
                  <c:v>1113.1427000000001</c:v>
                </c:pt>
                <c:pt idx="42">
                  <c:v>1107.5406</c:v>
                </c:pt>
                <c:pt idx="43">
                  <c:v>1103.0268000000001</c:v>
                </c:pt>
                <c:pt idx="44">
                  <c:v>1099.7312999999999</c:v>
                </c:pt>
                <c:pt idx="45">
                  <c:v>1097.749</c:v>
                </c:pt>
                <c:pt idx="46">
                  <c:v>1097.1371999999999</c:v>
                </c:pt>
                <c:pt idx="47">
                  <c:v>1097.9139</c:v>
                </c:pt>
                <c:pt idx="48">
                  <c:v>1100.0569</c:v>
                </c:pt>
                <c:pt idx="49">
                  <c:v>1103.5053</c:v>
                </c:pt>
                <c:pt idx="50">
                  <c:v>1108.1603</c:v>
                </c:pt>
                <c:pt idx="51">
                  <c:v>1113.8887</c:v>
                </c:pt>
                <c:pt idx="52">
                  <c:v>1120.5263</c:v>
                </c:pt>
                <c:pt idx="53">
                  <c:v>1127.8831</c:v>
                </c:pt>
                <c:pt idx="54">
                  <c:v>1135.7482</c:v>
                </c:pt>
                <c:pt idx="55">
                  <c:v>1143.8963000000001</c:v>
                </c:pt>
                <c:pt idx="56">
                  <c:v>1152.0940000000001</c:v>
                </c:pt>
                <c:pt idx="57">
                  <c:v>1160.1062999999999</c:v>
                </c:pt>
                <c:pt idx="58">
                  <c:v>1167.7038</c:v>
                </c:pt>
                <c:pt idx="59">
                  <c:v>1174.6688999999999</c:v>
                </c:pt>
                <c:pt idx="60">
                  <c:v>1180.8018999999999</c:v>
                </c:pt>
                <c:pt idx="61">
                  <c:v>1185.9272000000001</c:v>
                </c:pt>
                <c:pt idx="62">
                  <c:v>1189.8982000000001</c:v>
                </c:pt>
                <c:pt idx="63">
                  <c:v>1192.6011000000001</c:v>
                </c:pt>
                <c:pt idx="64">
                  <c:v>1193.9585999999999</c:v>
                </c:pt>
                <c:pt idx="65">
                  <c:v>1193.9317000000001</c:v>
                </c:pt>
                <c:pt idx="66">
                  <c:v>1192.5214000000001</c:v>
                </c:pt>
                <c:pt idx="67">
                  <c:v>1189.768</c:v>
                </c:pt>
                <c:pt idx="68">
                  <c:v>1185.7503999999999</c:v>
                </c:pt>
                <c:pt idx="69">
                  <c:v>1180.5835</c:v>
                </c:pt>
                <c:pt idx="70">
                  <c:v>1174.4150999999999</c:v>
                </c:pt>
                <c:pt idx="71">
                  <c:v>1167.4217000000001</c:v>
                </c:pt>
                <c:pt idx="72">
                  <c:v>1159.8033</c:v>
                </c:pt>
                <c:pt idx="73">
                  <c:v>1151.7775999999999</c:v>
                </c:pt>
                <c:pt idx="74">
                  <c:v>1143.5742</c:v>
                </c:pt>
                <c:pt idx="75">
                  <c:v>1135.4273000000001</c:v>
                </c:pt>
                <c:pt idx="76">
                  <c:v>1127.5697</c:v>
                </c:pt>
                <c:pt idx="77">
                  <c:v>1120.2256</c:v>
                </c:pt>
                <c:pt idx="78">
                  <c:v>1113.6048000000001</c:v>
                </c:pt>
                <c:pt idx="79">
                  <c:v>1107.896</c:v>
                </c:pt>
                <c:pt idx="80">
                  <c:v>1103.2619999999999</c:v>
                </c:pt>
                <c:pt idx="81">
                  <c:v>1099.8344999999999</c:v>
                </c:pt>
                <c:pt idx="82">
                  <c:v>1097.711</c:v>
                </c:pt>
                <c:pt idx="83">
                  <c:v>1096.9513999999999</c:v>
                </c:pt>
                <c:pt idx="84">
                  <c:v>1097.5769</c:v>
                </c:pt>
                <c:pt idx="85">
                  <c:v>1099.5688</c:v>
                </c:pt>
                <c:pt idx="86">
                  <c:v>1102.8695</c:v>
                </c:pt>
                <c:pt idx="87">
                  <c:v>1107.3839</c:v>
                </c:pt>
                <c:pt idx="88">
                  <c:v>1112.9824000000001</c:v>
                </c:pt>
                <c:pt idx="89">
                  <c:v>1119.5044</c:v>
                </c:pt>
                <c:pt idx="90">
                  <c:v>1126.7628999999999</c:v>
                </c:pt>
                <c:pt idx="91">
                  <c:v>1134.5499</c:v>
                </c:pt>
                <c:pt idx="92">
                  <c:v>1142.6425999999999</c:v>
                </c:pt>
                <c:pt idx="93">
                  <c:v>1150.8091999999999</c:v>
                </c:pt>
                <c:pt idx="94">
                  <c:v>1158.8162</c:v>
                </c:pt>
                <c:pt idx="95">
                  <c:v>1166.4347</c:v>
                </c:pt>
                <c:pt idx="96">
                  <c:v>1173.4467999999999</c:v>
                </c:pt>
                <c:pt idx="97">
                  <c:v>1179.6521</c:v>
                </c:pt>
                <c:pt idx="98">
                  <c:v>1184.8735999999999</c:v>
                </c:pt>
                <c:pt idx="99">
                  <c:v>1188.9621999999999</c:v>
                </c:pt>
                <c:pt idx="100">
                  <c:v>1191.8012000000001</c:v>
                </c:pt>
                <c:pt idx="101">
                  <c:v>1193.31</c:v>
                </c:pt>
                <c:pt idx="102">
                  <c:v>1193.4458999999999</c:v>
                </c:pt>
                <c:pt idx="103">
                  <c:v>1192.2053000000001</c:v>
                </c:pt>
                <c:pt idx="104">
                  <c:v>1189.6242</c:v>
                </c:pt>
                <c:pt idx="105">
                  <c:v>1185.7769000000001</c:v>
                </c:pt>
                <c:pt idx="106">
                  <c:v>1180.7737999999999</c:v>
                </c:pt>
                <c:pt idx="107">
                  <c:v>1174.7583</c:v>
                </c:pt>
                <c:pt idx="108">
                  <c:v>1167.9028000000001</c:v>
                </c:pt>
                <c:pt idx="109">
                  <c:v>1160.4036000000001</c:v>
                </c:pt>
                <c:pt idx="110">
                  <c:v>1152.4755</c:v>
                </c:pt>
                <c:pt idx="111">
                  <c:v>1144.3452</c:v>
                </c:pt>
                <c:pt idx="112">
                  <c:v>1136.2454</c:v>
                </c:pt>
                <c:pt idx="113">
                  <c:v>1128.4078</c:v>
                </c:pt>
                <c:pt idx="114">
                  <c:v>1121.0564999999999</c:v>
                </c:pt>
                <c:pt idx="115">
                  <c:v>1114.4014</c:v>
                </c:pt>
                <c:pt idx="116">
                  <c:v>1108.6329000000001</c:v>
                </c:pt>
                <c:pt idx="117">
                  <c:v>1103.9156</c:v>
                </c:pt>
                <c:pt idx="118">
                  <c:v>1100.384</c:v>
                </c:pt>
                <c:pt idx="119">
                  <c:v>1098.1388999999999</c:v>
                </c:pt>
                <c:pt idx="120">
                  <c:v>1097.2438999999999</c:v>
                </c:pt>
                <c:pt idx="121">
                  <c:v>1097.7242000000001</c:v>
                </c:pt>
                <c:pt idx="122">
                  <c:v>1099.5655999999999</c:v>
                </c:pt>
                <c:pt idx="123">
                  <c:v>1102.7148</c:v>
                </c:pt>
                <c:pt idx="124">
                  <c:v>1107.0811000000001</c:v>
                </c:pt>
                <c:pt idx="125">
                  <c:v>1112.539</c:v>
                </c:pt>
                <c:pt idx="126">
                  <c:v>1118.9319</c:v>
                </c:pt>
                <c:pt idx="127">
                  <c:v>1126.0761</c:v>
                </c:pt>
                <c:pt idx="128">
                  <c:v>1133.7666999999999</c:v>
                </c:pt>
                <c:pt idx="129">
                  <c:v>1141.7831000000001</c:v>
                </c:pt>
                <c:pt idx="130">
                  <c:v>1149.8951999999999</c:v>
                </c:pt>
                <c:pt idx="131">
                  <c:v>1157.8703</c:v>
                </c:pt>
                <c:pt idx="132">
                  <c:v>1165.4797000000001</c:v>
                </c:pt>
                <c:pt idx="133">
                  <c:v>1172.5050000000001</c:v>
                </c:pt>
                <c:pt idx="134">
                  <c:v>1178.7446</c:v>
                </c:pt>
                <c:pt idx="135">
                  <c:v>1184.0192999999999</c:v>
                </c:pt>
                <c:pt idx="136">
                  <c:v>1188.1775</c:v>
                </c:pt>
                <c:pt idx="137">
                  <c:v>1191.0998</c:v>
                </c:pt>
                <c:pt idx="138">
                  <c:v>1192.7019</c:v>
                </c:pt>
                <c:pt idx="139">
                  <c:v>1192.9373000000001</c:v>
                </c:pt>
                <c:pt idx="140">
                  <c:v>1191.7988</c:v>
                </c:pt>
                <c:pt idx="141">
                  <c:v>1189.3182999999999</c:v>
                </c:pt>
                <c:pt idx="142">
                  <c:v>1185.5662</c:v>
                </c:pt>
                <c:pt idx="143">
                  <c:v>1180.6494</c:v>
                </c:pt>
                <c:pt idx="144">
                  <c:v>1174.7079000000001</c:v>
                </c:pt>
                <c:pt idx="145">
                  <c:v>1167.9114</c:v>
                </c:pt>
                <c:pt idx="146">
                  <c:v>1160.4538</c:v>
                </c:pt>
                <c:pt idx="147">
                  <c:v>1152.548</c:v>
                </c:pt>
                <c:pt idx="148">
                  <c:v>1144.4197999999999</c:v>
                </c:pt>
                <c:pt idx="149">
                  <c:v>1136.3014000000001</c:v>
                </c:pt>
                <c:pt idx="150">
                  <c:v>1128.4247</c:v>
                </c:pt>
                <c:pt idx="151">
                  <c:v>1121.0146999999999</c:v>
                </c:pt>
                <c:pt idx="152">
                  <c:v>1114.2832000000001</c:v>
                </c:pt>
                <c:pt idx="153">
                  <c:v>1108.4224999999999</c:v>
                </c:pt>
                <c:pt idx="154">
                  <c:v>1103.6001000000001</c:v>
                </c:pt>
                <c:pt idx="155">
                  <c:v>1099.9537</c:v>
                </c:pt>
                <c:pt idx="156">
                  <c:v>1097.5876000000001</c:v>
                </c:pt>
                <c:pt idx="157">
                  <c:v>1096.5693000000001</c:v>
                </c:pt>
                <c:pt idx="158">
                  <c:v>1096.9277999999999</c:v>
                </c:pt>
                <c:pt idx="159">
                  <c:v>1098.6528000000001</c:v>
                </c:pt>
                <c:pt idx="160">
                  <c:v>1101.6949999999999</c:v>
                </c:pt>
                <c:pt idx="161">
                  <c:v>1105.9673</c:v>
                </c:pt>
                <c:pt idx="162">
                  <c:v>1111.3475000000001</c:v>
                </c:pt>
                <c:pt idx="163">
                  <c:v>1117.6818000000001</c:v>
                </c:pt>
                <c:pt idx="164">
                  <c:v>1124.7891</c:v>
                </c:pt>
                <c:pt idx="165">
                  <c:v>1132.4659999999999</c:v>
                </c:pt>
                <c:pt idx="166">
                  <c:v>1140.4933000000001</c:v>
                </c:pt>
                <c:pt idx="167">
                  <c:v>1148.6414</c:v>
                </c:pt>
                <c:pt idx="168">
                  <c:v>1156.6774</c:v>
                </c:pt>
                <c:pt idx="169">
                  <c:v>1164.3717999999999</c:v>
                </c:pt>
                <c:pt idx="170">
                  <c:v>1171.5045</c:v>
                </c:pt>
                <c:pt idx="171">
                  <c:v>1177.8720000000001</c:v>
                </c:pt>
                <c:pt idx="172">
                  <c:v>1183.2925</c:v>
                </c:pt>
                <c:pt idx="173">
                  <c:v>1187.6112000000001</c:v>
                </c:pt>
                <c:pt idx="174">
                  <c:v>1190.7049</c:v>
                </c:pt>
                <c:pt idx="175">
                  <c:v>1192.4857999999999</c:v>
                </c:pt>
                <c:pt idx="176">
                  <c:v>1192.9032</c:v>
                </c:pt>
                <c:pt idx="177">
                  <c:v>1191.9458</c:v>
                </c:pt>
                <c:pt idx="178">
                  <c:v>1189.6414</c:v>
                </c:pt>
                <c:pt idx="179">
                  <c:v>1186.0567000000001</c:v>
                </c:pt>
                <c:pt idx="180">
                  <c:v>1181.2945999999999</c:v>
                </c:pt>
                <c:pt idx="181">
                  <c:v>1175.492</c:v>
                </c:pt>
                <c:pt idx="182">
                  <c:v>1168.8154999999999</c:v>
                </c:pt>
                <c:pt idx="183">
                  <c:v>1161.4567</c:v>
                </c:pt>
                <c:pt idx="184">
                  <c:v>1153.6268</c:v>
                </c:pt>
                <c:pt idx="185">
                  <c:v>1145.5503000000001</c:v>
                </c:pt>
                <c:pt idx="186">
                  <c:v>1137.4590000000001</c:v>
                </c:pt>
                <c:pt idx="187">
                  <c:v>1129.5848000000001</c:v>
                </c:pt>
                <c:pt idx="188">
                  <c:v>1122.1537000000001</c:v>
                </c:pt>
                <c:pt idx="189">
                  <c:v>1115.3787</c:v>
                </c:pt>
                <c:pt idx="190">
                  <c:v>1109.4543000000001</c:v>
                </c:pt>
                <c:pt idx="191">
                  <c:v>1104.5504000000001</c:v>
                </c:pt>
                <c:pt idx="192">
                  <c:v>1100.8078</c:v>
                </c:pt>
                <c:pt idx="193">
                  <c:v>1098.3341</c:v>
                </c:pt>
                <c:pt idx="194">
                  <c:v>1097.2004999999999</c:v>
                </c:pt>
                <c:pt idx="195">
                  <c:v>1097.4398000000001</c:v>
                </c:pt>
                <c:pt idx="196">
                  <c:v>1099.0455999999999</c:v>
                </c:pt>
                <c:pt idx="197">
                  <c:v>1101.9722999999999</c:v>
                </c:pt>
                <c:pt idx="198">
                  <c:v>1106.1367</c:v>
                </c:pt>
                <c:pt idx="199">
                  <c:v>1111.4197999999999</c:v>
                </c:pt>
                <c:pt idx="200">
                  <c:v>1117.6709000000001</c:v>
                </c:pt>
                <c:pt idx="201">
                  <c:v>1124.7114999999999</c:v>
                </c:pt>
                <c:pt idx="202">
                  <c:v>1132.3405</c:v>
                </c:pt>
                <c:pt idx="203">
                  <c:v>1140.3400999999999</c:v>
                </c:pt>
                <c:pt idx="204">
                  <c:v>1148.4816000000001</c:v>
                </c:pt>
                <c:pt idx="205">
                  <c:v>1156.5325</c:v>
                </c:pt>
                <c:pt idx="206">
                  <c:v>1164.2628999999999</c:v>
                </c:pt>
                <c:pt idx="207">
                  <c:v>1171.452</c:v>
                </c:pt>
                <c:pt idx="208">
                  <c:v>1177.8945000000001</c:v>
                </c:pt>
                <c:pt idx="209">
                  <c:v>1183.4065000000001</c:v>
                </c:pt>
                <c:pt idx="210">
                  <c:v>1187.8308</c:v>
                </c:pt>
                <c:pt idx="211">
                  <c:v>1191.0413000000001</c:v>
                </c:pt>
                <c:pt idx="212">
                  <c:v>1192.9466</c:v>
                </c:pt>
                <c:pt idx="213">
                  <c:v>1193.4927</c:v>
                </c:pt>
                <c:pt idx="214">
                  <c:v>1192.6646000000001</c:v>
                </c:pt>
                <c:pt idx="215">
                  <c:v>1190.4866</c:v>
                </c:pt>
                <c:pt idx="216">
                  <c:v>1187.0214000000001</c:v>
                </c:pt>
                <c:pt idx="217">
                  <c:v>1182.3689999999999</c:v>
                </c:pt>
                <c:pt idx="218">
                  <c:v>1176.663</c:v>
                </c:pt>
                <c:pt idx="219">
                  <c:v>1170.0672999999999</c:v>
                </c:pt>
                <c:pt idx="220">
                  <c:v>1162.7713000000001</c:v>
                </c:pt>
                <c:pt idx="221">
                  <c:v>1154.9843000000001</c:v>
                </c:pt>
                <c:pt idx="222">
                  <c:v>1146.9299000000001</c:v>
                </c:pt>
                <c:pt idx="223">
                  <c:v>1138.8389999999999</c:v>
                </c:pt>
                <c:pt idx="224">
                  <c:v>1130.9439</c:v>
                </c:pt>
                <c:pt idx="225">
                  <c:v>1123.4711</c:v>
                </c:pt>
                <c:pt idx="226">
                  <c:v>1116.6348</c:v>
                </c:pt>
                <c:pt idx="227">
                  <c:v>1110.6314</c:v>
                </c:pt>
                <c:pt idx="228">
                  <c:v>1105.6331</c:v>
                </c:pt>
                <c:pt idx="229">
                  <c:v>1101.7835</c:v>
                </c:pt>
                <c:pt idx="230">
                  <c:v>1099.1931999999999</c:v>
                </c:pt>
                <c:pt idx="231">
                  <c:v>1097.9368999999999</c:v>
                </c:pt>
                <c:pt idx="232">
                  <c:v>1098.0509</c:v>
                </c:pt>
                <c:pt idx="233">
                  <c:v>1099.5324000000001</c:v>
                </c:pt>
                <c:pt idx="234">
                  <c:v>1102.3394000000001</c:v>
                </c:pt>
                <c:pt idx="235">
                  <c:v>1106.3922</c:v>
                </c:pt>
                <c:pt idx="236">
                  <c:v>1111.575</c:v>
                </c:pt>
                <c:pt idx="237">
                  <c:v>1117.7401</c:v>
                </c:pt>
                <c:pt idx="238">
                  <c:v>1124.7113999999999</c:v>
                </c:pt>
                <c:pt idx="239">
                  <c:v>1132.2898</c:v>
                </c:pt>
                <c:pt idx="240">
                  <c:v>1140.2591</c:v>
                </c:pt>
                <c:pt idx="241">
                  <c:v>1148.3915999999999</c:v>
                </c:pt>
                <c:pt idx="242">
                  <c:v>1156.4550999999999</c:v>
                </c:pt>
                <c:pt idx="243">
                  <c:v>1164.2193</c:v>
                </c:pt>
                <c:pt idx="244">
                  <c:v>1171.4626000000001</c:v>
                </c:pt>
                <c:pt idx="245">
                  <c:v>1177.9783</c:v>
                </c:pt>
                <c:pt idx="246">
                  <c:v>1183.5804000000001</c:v>
                </c:pt>
                <c:pt idx="247">
                  <c:v>1188.1092000000001</c:v>
                </c:pt>
                <c:pt idx="248">
                  <c:v>1191.4356</c:v>
                </c:pt>
                <c:pt idx="249">
                  <c:v>1193.4648999999999</c:v>
                </c:pt>
                <c:pt idx="250">
                  <c:v>1194.1395</c:v>
                </c:pt>
                <c:pt idx="251">
                  <c:v>1193.4407000000001</c:v>
                </c:pt>
                <c:pt idx="252">
                  <c:v>1191.3886</c:v>
                </c:pt>
                <c:pt idx="253">
                  <c:v>1188.0424</c:v>
                </c:pt>
                <c:pt idx="254">
                  <c:v>1183.4981</c:v>
                </c:pt>
                <c:pt idx="255">
                  <c:v>1177.8858</c:v>
                </c:pt>
                <c:pt idx="256">
                  <c:v>1171.3662999999999</c:v>
                </c:pt>
                <c:pt idx="257">
                  <c:v>1164.126</c:v>
                </c:pt>
                <c:pt idx="258">
                  <c:v>1156.3719000000001</c:v>
                </c:pt>
                <c:pt idx="259">
                  <c:v>1148.3258000000001</c:v>
                </c:pt>
                <c:pt idx="260">
                  <c:v>1140.2175</c:v>
                </c:pt>
                <c:pt idx="261">
                  <c:v>1132.2786000000001</c:v>
                </c:pt>
                <c:pt idx="262">
                  <c:v>1124.7357</c:v>
                </c:pt>
                <c:pt idx="263">
                  <c:v>1117.8041000000001</c:v>
                </c:pt>
                <c:pt idx="264">
                  <c:v>1111.6813999999999</c:v>
                </c:pt>
                <c:pt idx="265">
                  <c:v>1106.5422000000001</c:v>
                </c:pt>
                <c:pt idx="266">
                  <c:v>1102.5326</c:v>
                </c:pt>
                <c:pt idx="267">
                  <c:v>1099.7668000000001</c:v>
                </c:pt>
                <c:pt idx="268">
                  <c:v>1098.3231000000001</c:v>
                </c:pt>
                <c:pt idx="269">
                  <c:v>1098.2419</c:v>
                </c:pt>
                <c:pt idx="270">
                  <c:v>1099.5251000000001</c:v>
                </c:pt>
                <c:pt idx="271">
                  <c:v>1102.1351</c:v>
                </c:pt>
                <c:pt idx="272">
                  <c:v>1105.9967999999999</c:v>
                </c:pt>
                <c:pt idx="273">
                  <c:v>1110.9992</c:v>
                </c:pt>
                <c:pt idx="274">
                  <c:v>1116.9985999999999</c:v>
                </c:pt>
                <c:pt idx="275">
                  <c:v>1123.8231000000001</c:v>
                </c:pt>
                <c:pt idx="276">
                  <c:v>1131.2772</c:v>
                </c:pt>
                <c:pt idx="277">
                  <c:v>1139.1475</c:v>
                </c:pt>
                <c:pt idx="278">
                  <c:v>1147.2085999999999</c:v>
                </c:pt>
                <c:pt idx="279">
                  <c:v>1155.2299</c:v>
                </c:pt>
                <c:pt idx="280">
                  <c:v>1162.9819</c:v>
                </c:pt>
                <c:pt idx="281">
                  <c:v>1170.2429</c:v>
                </c:pt>
                <c:pt idx="282">
                  <c:v>1176.8052</c:v>
                </c:pt>
                <c:pt idx="283">
                  <c:v>1182.4811</c:v>
                </c:pt>
                <c:pt idx="284">
                  <c:v>1187.1083000000001</c:v>
                </c:pt>
                <c:pt idx="285">
                  <c:v>1190.5543</c:v>
                </c:pt>
                <c:pt idx="286">
                  <c:v>1192.7204999999999</c:v>
                </c:pt>
                <c:pt idx="287">
                  <c:v>1193.5447999999999</c:v>
                </c:pt>
                <c:pt idx="288">
                  <c:v>1193.0035</c:v>
                </c:pt>
                <c:pt idx="289">
                  <c:v>1191.1116</c:v>
                </c:pt>
                <c:pt idx="290">
                  <c:v>1187.923</c:v>
                </c:pt>
                <c:pt idx="291">
                  <c:v>1183.5283999999999</c:v>
                </c:pt>
                <c:pt idx="292">
                  <c:v>1178.0531000000001</c:v>
                </c:pt>
                <c:pt idx="293">
                  <c:v>1171.6531</c:v>
                </c:pt>
                <c:pt idx="294">
                  <c:v>1164.5108</c:v>
                </c:pt>
                <c:pt idx="295">
                  <c:v>1156.83</c:v>
                </c:pt>
                <c:pt idx="296">
                  <c:v>1148.8297</c:v>
                </c:pt>
                <c:pt idx="297">
                  <c:v>1140.7381</c:v>
                </c:pt>
                <c:pt idx="298">
                  <c:v>1132.7862</c:v>
                </c:pt>
                <c:pt idx="299">
                  <c:v>1125.2008000000001</c:v>
                </c:pt>
                <c:pt idx="300">
                  <c:v>1118.1985999999999</c:v>
                </c:pt>
                <c:pt idx="301">
                  <c:v>1111.9795999999999</c:v>
                </c:pt>
                <c:pt idx="302">
                  <c:v>1106.7212999999999</c:v>
                </c:pt>
                <c:pt idx="303">
                  <c:v>1102.5742</c:v>
                </c:pt>
                <c:pt idx="304">
                  <c:v>1099.6569</c:v>
                </c:pt>
                <c:pt idx="305">
                  <c:v>1098.0530000000001</c:v>
                </c:pt>
                <c:pt idx="306">
                  <c:v>1097.8087</c:v>
                </c:pt>
                <c:pt idx="307">
                  <c:v>1098.9313999999999</c:v>
                </c:pt>
                <c:pt idx="308">
                  <c:v>1101.3895</c:v>
                </c:pt>
                <c:pt idx="309">
                  <c:v>1105.1132</c:v>
                </c:pt>
                <c:pt idx="310">
                  <c:v>1109.9965999999999</c:v>
                </c:pt>
                <c:pt idx="311">
                  <c:v>1115.9006999999999</c:v>
                </c:pt>
                <c:pt idx="312">
                  <c:v>1122.6572000000001</c:v>
                </c:pt>
                <c:pt idx="313">
                  <c:v>1130.0735</c:v>
                </c:pt>
                <c:pt idx="314">
                  <c:v>1137.9378999999999</c:v>
                </c:pt>
                <c:pt idx="315">
                  <c:v>1146.0257999999999</c:v>
                </c:pt>
                <c:pt idx="316">
                  <c:v>1154.1062999999999</c:v>
                </c:pt>
                <c:pt idx="317">
                  <c:v>1161.9483</c:v>
                </c:pt>
                <c:pt idx="318">
                  <c:v>1169.3276000000001</c:v>
                </c:pt>
                <c:pt idx="319">
                  <c:v>1176.0328</c:v>
                </c:pt>
                <c:pt idx="320">
                  <c:v>1181.8719000000001</c:v>
                </c:pt>
                <c:pt idx="321">
                  <c:v>1186.6773000000001</c:v>
                </c:pt>
                <c:pt idx="322">
                  <c:v>1190.3109999999999</c:v>
                </c:pt>
                <c:pt idx="323">
                  <c:v>1192.6682000000001</c:v>
                </c:pt>
                <c:pt idx="324">
                  <c:v>1193.6808000000001</c:v>
                </c:pt>
                <c:pt idx="325">
                  <c:v>1193.3187</c:v>
                </c:pt>
                <c:pt idx="326">
                  <c:v>1191.5915</c:v>
                </c:pt>
                <c:pt idx="327">
                  <c:v>1188.5473999999999</c:v>
                </c:pt>
                <c:pt idx="328">
                  <c:v>1184.2728</c:v>
                </c:pt>
                <c:pt idx="329">
                  <c:v>1178.8889999999999</c:v>
                </c:pt>
                <c:pt idx="330">
                  <c:v>1172.5492999999999</c:v>
                </c:pt>
                <c:pt idx="331">
                  <c:v>1165.4345000000001</c:v>
                </c:pt>
                <c:pt idx="332">
                  <c:v>1157.7476999999999</c:v>
                </c:pt>
                <c:pt idx="333">
                  <c:v>1149.7086999999999</c:v>
                </c:pt>
                <c:pt idx="334">
                  <c:v>1141.5474999999999</c:v>
                </c:pt>
                <c:pt idx="335">
                  <c:v>1133.4976999999999</c:v>
                </c:pt>
                <c:pt idx="336">
                  <c:v>1125.7901999999999</c:v>
                </c:pt>
                <c:pt idx="337">
                  <c:v>1118.6460999999999</c:v>
                </c:pt>
                <c:pt idx="338">
                  <c:v>1112.2707</c:v>
                </c:pt>
                <c:pt idx="339">
                  <c:v>1106.8475000000001</c:v>
                </c:pt>
                <c:pt idx="340">
                  <c:v>1102.5328</c:v>
                </c:pt>
                <c:pt idx="341">
                  <c:v>1099.4512</c:v>
                </c:pt>
                <c:pt idx="342">
                  <c:v>1097.6922999999999</c:v>
                </c:pt>
                <c:pt idx="343">
                  <c:v>1097.3073999999999</c:v>
                </c:pt>
                <c:pt idx="344">
                  <c:v>1098.3089</c:v>
                </c:pt>
                <c:pt idx="345">
                  <c:v>1100.6691000000001</c:v>
                </c:pt>
                <c:pt idx="346">
                  <c:v>1104.3213000000001</c:v>
                </c:pt>
                <c:pt idx="347">
                  <c:v>1109.1614</c:v>
                </c:pt>
                <c:pt idx="348">
                  <c:v>1115.0514000000001</c:v>
                </c:pt>
                <c:pt idx="349">
                  <c:v>1121.8225</c:v>
                </c:pt>
                <c:pt idx="350">
                  <c:v>1129.2808</c:v>
                </c:pt>
                <c:pt idx="351">
                  <c:v>1137.2119</c:v>
                </c:pt>
                <c:pt idx="352">
                  <c:v>1145.3878</c:v>
                </c:pt>
                <c:pt idx="353">
                  <c:v>1153.5732</c:v>
                </c:pt>
                <c:pt idx="354">
                  <c:v>1161.5319999999999</c:v>
                </c:pt>
                <c:pt idx="355">
                  <c:v>1169.0346</c:v>
                </c:pt>
                <c:pt idx="356">
                  <c:v>1175.8639000000001</c:v>
                </c:pt>
                <c:pt idx="357">
                  <c:v>1181.8222000000001</c:v>
                </c:pt>
                <c:pt idx="358">
                  <c:v>1186.7366999999999</c:v>
                </c:pt>
                <c:pt idx="359">
                  <c:v>1190.4641999999999</c:v>
                </c:pt>
                <c:pt idx="360">
                  <c:v>1192.8959</c:v>
                </c:pt>
                <c:pt idx="361">
                  <c:v>1193.96</c:v>
                </c:pt>
                <c:pt idx="362">
                  <c:v>1193.6243999999999</c:v>
                </c:pt>
                <c:pt idx="363">
                  <c:v>1191.8970999999999</c:v>
                </c:pt>
                <c:pt idx="364">
                  <c:v>1188.8266000000001</c:v>
                </c:pt>
                <c:pt idx="365">
                  <c:v>1184.5001</c:v>
                </c:pt>
                <c:pt idx="366">
                  <c:v>1179.0414000000001</c:v>
                </c:pt>
                <c:pt idx="367">
                  <c:v>1172.6070999999999</c:v>
                </c:pt>
                <c:pt idx="368">
                  <c:v>1165.3823</c:v>
                </c:pt>
                <c:pt idx="369">
                  <c:v>1157.5751</c:v>
                </c:pt>
                <c:pt idx="370">
                  <c:v>1149.4108000000001</c:v>
                </c:pt>
                <c:pt idx="371">
                  <c:v>1141.1252999999999</c:v>
                </c:pt>
                <c:pt idx="372">
                  <c:v>1132.9583</c:v>
                </c:pt>
                <c:pt idx="373">
                  <c:v>1125.1460999999999</c:v>
                </c:pt>
                <c:pt idx="374">
                  <c:v>1117.9152999999999</c:v>
                </c:pt>
                <c:pt idx="375">
                  <c:v>1111.4754</c:v>
                </c:pt>
                <c:pt idx="376">
                  <c:v>1106.0135</c:v>
                </c:pt>
                <c:pt idx="377">
                  <c:v>1101.6883</c:v>
                </c:pt>
                <c:pt idx="378">
                  <c:v>1098.6256000000001</c:v>
                </c:pt>
                <c:pt idx="379">
                  <c:v>1096.9147</c:v>
                </c:pt>
                <c:pt idx="380">
                  <c:v>1096.6054999999999</c:v>
                </c:pt>
                <c:pt idx="381">
                  <c:v>1097.7074</c:v>
                </c:pt>
                <c:pt idx="382">
                  <c:v>1100.1886</c:v>
                </c:pt>
                <c:pt idx="383">
                  <c:v>1103.9772</c:v>
                </c:pt>
                <c:pt idx="384">
                  <c:v>1108.9632999999999</c:v>
                </c:pt>
                <c:pt idx="385">
                  <c:v>1115.0021999999999</c:v>
                </c:pt>
                <c:pt idx="386">
                  <c:v>1121.9182000000001</c:v>
                </c:pt>
                <c:pt idx="387">
                  <c:v>1129.5103999999999</c:v>
                </c:pt>
                <c:pt idx="388">
                  <c:v>1137.5581999999999</c:v>
                </c:pt>
                <c:pt idx="389">
                  <c:v>1145.8275000000001</c:v>
                </c:pt>
                <c:pt idx="390">
                  <c:v>1154.0780999999999</c:v>
                </c:pt>
                <c:pt idx="391">
                  <c:v>1162.0705</c:v>
                </c:pt>
                <c:pt idx="392">
                  <c:v>1169.5725</c:v>
                </c:pt>
                <c:pt idx="393">
                  <c:v>1176.3668</c:v>
                </c:pt>
                <c:pt idx="394">
                  <c:v>1182.2566999999999</c:v>
                </c:pt>
                <c:pt idx="395">
                  <c:v>1187.0723</c:v>
                </c:pt>
                <c:pt idx="396">
                  <c:v>1190.675</c:v>
                </c:pt>
                <c:pt idx="397">
                  <c:v>1192.9621999999999</c:v>
                </c:pt>
                <c:pt idx="398">
                  <c:v>1193.8696</c:v>
                </c:pt>
                <c:pt idx="399">
                  <c:v>1193.3733999999999</c:v>
                </c:pt>
                <c:pt idx="400">
                  <c:v>1191.4911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89-4C9E-BC73-470B5ED791F5}"/>
            </c:ext>
          </c:extLst>
        </c:ser>
        <c:ser>
          <c:idx val="1"/>
          <c:order val="1"/>
          <c:tx>
            <c:strRef>
              <c:f>工作表1!$BG$1</c:f>
              <c:strCache>
                <c:ptCount val="1"/>
                <c:pt idx="0">
                  <c:v>Iout2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工作表1!$BG$101:$BG$501</c:f>
              <c:numCache>
                <c:formatCode>General</c:formatCode>
                <c:ptCount val="401"/>
                <c:pt idx="0">
                  <c:v>899.22860000000003</c:v>
                </c:pt>
                <c:pt idx="1">
                  <c:v>1003.6778</c:v>
                </c:pt>
                <c:pt idx="2">
                  <c:v>1110.7831000000001</c:v>
                </c:pt>
                <c:pt idx="3">
                  <c:v>1217.4466</c:v>
                </c:pt>
                <c:pt idx="4">
                  <c:v>1320.5794000000001</c:v>
                </c:pt>
                <c:pt idx="5">
                  <c:v>1417.1913999999999</c:v>
                </c:pt>
                <c:pt idx="6">
                  <c:v>1504.4784999999999</c:v>
                </c:pt>
                <c:pt idx="7">
                  <c:v>1579.9049</c:v>
                </c:pt>
                <c:pt idx="8">
                  <c:v>1641.2768000000001</c:v>
                </c:pt>
                <c:pt idx="9">
                  <c:v>1686.8067000000001</c:v>
                </c:pt>
                <c:pt idx="10">
                  <c:v>1715.1658</c:v>
                </c:pt>
                <c:pt idx="11">
                  <c:v>1725.5228999999999</c:v>
                </c:pt>
                <c:pt idx="12">
                  <c:v>1717.5686000000001</c:v>
                </c:pt>
                <c:pt idx="13">
                  <c:v>1691.5247999999999</c:v>
                </c:pt>
                <c:pt idx="14">
                  <c:v>1648.1383000000001</c:v>
                </c:pt>
                <c:pt idx="15">
                  <c:v>1588.6593</c:v>
                </c:pt>
                <c:pt idx="16">
                  <c:v>1514.8049000000001</c:v>
                </c:pt>
                <c:pt idx="17">
                  <c:v>1428.7097000000001</c:v>
                </c:pt>
                <c:pt idx="18">
                  <c:v>1332.8634</c:v>
                </c:pt>
                <c:pt idx="19">
                  <c:v>1230.0389</c:v>
                </c:pt>
                <c:pt idx="20">
                  <c:v>1123.2113999999999</c:v>
                </c:pt>
                <c:pt idx="21">
                  <c:v>1015.4725</c:v>
                </c:pt>
                <c:pt idx="22">
                  <c:v>909.94039999999995</c:v>
                </c:pt>
                <c:pt idx="23">
                  <c:v>809.66920000000005</c:v>
                </c:pt>
                <c:pt idx="24">
                  <c:v>717.5607</c:v>
                </c:pt>
                <c:pt idx="25">
                  <c:v>636.28049999999996</c:v>
                </c:pt>
                <c:pt idx="26">
                  <c:v>568.18050000000005</c:v>
                </c:pt>
                <c:pt idx="27">
                  <c:v>515.23119999999994</c:v>
                </c:pt>
                <c:pt idx="28">
                  <c:v>478.96480000000003</c:v>
                </c:pt>
                <c:pt idx="29">
                  <c:v>460.43099999999998</c:v>
                </c:pt>
                <c:pt idx="30">
                  <c:v>460.1669</c:v>
                </c:pt>
                <c:pt idx="31">
                  <c:v>478.18169999999998</c:v>
                </c:pt>
                <c:pt idx="32">
                  <c:v>513.95680000000004</c:v>
                </c:pt>
                <c:pt idx="33">
                  <c:v>566.46069999999997</c:v>
                </c:pt>
                <c:pt idx="34">
                  <c:v>634.17960000000005</c:v>
                </c:pt>
                <c:pt idx="35">
                  <c:v>715.16089999999997</c:v>
                </c:pt>
                <c:pt idx="36">
                  <c:v>807.0702</c:v>
                </c:pt>
                <c:pt idx="37">
                  <c:v>907.25850000000003</c:v>
                </c:pt>
                <c:pt idx="38">
                  <c:v>1012.8389</c:v>
                </c:pt>
                <c:pt idx="39">
                  <c:v>1120.7699</c:v>
                </c:pt>
                <c:pt idx="40">
                  <c:v>1227.9434000000001</c:v>
                </c:pt>
                <c:pt idx="41">
                  <c:v>1331.2738999999999</c:v>
                </c:pt>
                <c:pt idx="42">
                  <c:v>1427.7877000000001</c:v>
                </c:pt>
                <c:pt idx="43">
                  <c:v>1514.7080000000001</c:v>
                </c:pt>
                <c:pt idx="44">
                  <c:v>1589.5350000000001</c:v>
                </c:pt>
                <c:pt idx="45">
                  <c:v>1650.1175000000001</c:v>
                </c:pt>
                <c:pt idx="46">
                  <c:v>1694.7146</c:v>
                </c:pt>
                <c:pt idx="47">
                  <c:v>1722.0454</c:v>
                </c:pt>
                <c:pt idx="48">
                  <c:v>1731.3255999999999</c:v>
                </c:pt>
                <c:pt idx="49">
                  <c:v>1722.2896000000001</c:v>
                </c:pt>
                <c:pt idx="50">
                  <c:v>1695.1977999999999</c:v>
                </c:pt>
                <c:pt idx="51">
                  <c:v>1650.8290999999999</c:v>
                </c:pt>
                <c:pt idx="52">
                  <c:v>1590.4577999999999</c:v>
                </c:pt>
                <c:pt idx="53">
                  <c:v>1515.8168000000001</c:v>
                </c:pt>
                <c:pt idx="54">
                  <c:v>1429.0481</c:v>
                </c:pt>
                <c:pt idx="55">
                  <c:v>1332.6403</c:v>
                </c:pt>
                <c:pt idx="56">
                  <c:v>1229.3579999999999</c:v>
                </c:pt>
                <c:pt idx="57">
                  <c:v>1122.1615999999999</c:v>
                </c:pt>
                <c:pt idx="58">
                  <c:v>1014.1228</c:v>
                </c:pt>
                <c:pt idx="59">
                  <c:v>908.33659999999998</c:v>
                </c:pt>
                <c:pt idx="60">
                  <c:v>807.83259999999996</c:v>
                </c:pt>
                <c:pt idx="61">
                  <c:v>715.48800000000006</c:v>
                </c:pt>
                <c:pt idx="62">
                  <c:v>633.94600000000003</c:v>
                </c:pt>
                <c:pt idx="63">
                  <c:v>565.53980000000001</c:v>
                </c:pt>
                <c:pt idx="64">
                  <c:v>512.22619999999995</c:v>
                </c:pt>
                <c:pt idx="65">
                  <c:v>475.52969999999999</c:v>
                </c:pt>
                <c:pt idx="66">
                  <c:v>456.49959999999999</c:v>
                </c:pt>
                <c:pt idx="67">
                  <c:v>455.67970000000003</c:v>
                </c:pt>
                <c:pt idx="68">
                  <c:v>473.09339999999997</c:v>
                </c:pt>
                <c:pt idx="69">
                  <c:v>508.24299999999999</c:v>
                </c:pt>
                <c:pt idx="70">
                  <c:v>560.12440000000004</c:v>
                </c:pt>
                <c:pt idx="71">
                  <c:v>627.25609999999995</c:v>
                </c:pt>
                <c:pt idx="72">
                  <c:v>707.72119999999995</c:v>
                </c:pt>
                <c:pt idx="73">
                  <c:v>799.22299999999996</c:v>
                </c:pt>
                <c:pt idx="74">
                  <c:v>899.15039999999999</c:v>
                </c:pt>
                <c:pt idx="75">
                  <c:v>1004.6522</c:v>
                </c:pt>
                <c:pt idx="76">
                  <c:v>1112.7194</c:v>
                </c:pt>
                <c:pt idx="77">
                  <c:v>1220.2702999999999</c:v>
                </c:pt>
                <c:pt idx="78">
                  <c:v>1324.2387000000001</c:v>
                </c:pt>
                <c:pt idx="79">
                  <c:v>1421.6614999999999</c:v>
                </c:pt>
                <c:pt idx="80">
                  <c:v>1509.7630999999999</c:v>
                </c:pt>
                <c:pt idx="81">
                  <c:v>1586.0340000000001</c:v>
                </c:pt>
                <c:pt idx="82">
                  <c:v>1648.3030000000001</c:v>
                </c:pt>
                <c:pt idx="83">
                  <c:v>1694.7982</c:v>
                </c:pt>
                <c:pt idx="84">
                  <c:v>1724.1980000000001</c:v>
                </c:pt>
                <c:pt idx="85">
                  <c:v>1735.6679999999999</c:v>
                </c:pt>
                <c:pt idx="86">
                  <c:v>1728.885</c:v>
                </c:pt>
                <c:pt idx="87">
                  <c:v>1704.0459000000001</c:v>
                </c:pt>
                <c:pt idx="88">
                  <c:v>1661.8615</c:v>
                </c:pt>
                <c:pt idx="89">
                  <c:v>1603.537</c:v>
                </c:pt>
                <c:pt idx="90">
                  <c:v>1530.7363</c:v>
                </c:pt>
                <c:pt idx="91">
                  <c:v>1445.5355</c:v>
                </c:pt>
                <c:pt idx="92">
                  <c:v>1350.3626999999999</c:v>
                </c:pt>
                <c:pt idx="93">
                  <c:v>1247.9294</c:v>
                </c:pt>
                <c:pt idx="94">
                  <c:v>1141.1528000000001</c:v>
                </c:pt>
                <c:pt idx="95">
                  <c:v>1033.0726999999999</c:v>
                </c:pt>
                <c:pt idx="96">
                  <c:v>926.76490000000001</c:v>
                </c:pt>
                <c:pt idx="97">
                  <c:v>825.25340000000006</c:v>
                </c:pt>
                <c:pt idx="98">
                  <c:v>731.42449999999997</c:v>
                </c:pt>
                <c:pt idx="99">
                  <c:v>647.94460000000004</c:v>
                </c:pt>
                <c:pt idx="100">
                  <c:v>577.18399999999997</c:v>
                </c:pt>
                <c:pt idx="101">
                  <c:v>521.15009999999995</c:v>
                </c:pt>
                <c:pt idx="102">
                  <c:v>481.42950000000002</c:v>
                </c:pt>
                <c:pt idx="103">
                  <c:v>459.14350000000002</c:v>
                </c:pt>
                <c:pt idx="104">
                  <c:v>454.91629999999998</c:v>
                </c:pt>
                <c:pt idx="105">
                  <c:v>468.85700000000003</c:v>
                </c:pt>
                <c:pt idx="106">
                  <c:v>500.55709999999999</c:v>
                </c:pt>
                <c:pt idx="107">
                  <c:v>549.10170000000005</c:v>
                </c:pt>
                <c:pt idx="108">
                  <c:v>613.09659999999997</c:v>
                </c:pt>
                <c:pt idx="109">
                  <c:v>690.70730000000003</c:v>
                </c:pt>
                <c:pt idx="110">
                  <c:v>779.71199999999999</c:v>
                </c:pt>
                <c:pt idx="111">
                  <c:v>877.56460000000004</c:v>
                </c:pt>
                <c:pt idx="112">
                  <c:v>981.46810000000005</c:v>
                </c:pt>
                <c:pt idx="113">
                  <c:v>1088.4535000000001</c:v>
                </c:pt>
                <c:pt idx="114">
                  <c:v>1195.4653000000001</c:v>
                </c:pt>
                <c:pt idx="115">
                  <c:v>1299.4483</c:v>
                </c:pt>
                <c:pt idx="116">
                  <c:v>1397.4348</c:v>
                </c:pt>
                <c:pt idx="117">
                  <c:v>1486.6292000000001</c:v>
                </c:pt>
                <c:pt idx="118">
                  <c:v>1564.4878000000001</c:v>
                </c:pt>
                <c:pt idx="119">
                  <c:v>1628.7913000000001</c:v>
                </c:pt>
                <c:pt idx="120">
                  <c:v>1677.7082</c:v>
                </c:pt>
                <c:pt idx="121">
                  <c:v>1709.8467000000001</c:v>
                </c:pt>
                <c:pt idx="122">
                  <c:v>1724.2945</c:v>
                </c:pt>
                <c:pt idx="123">
                  <c:v>1720.6449</c:v>
                </c:pt>
                <c:pt idx="124">
                  <c:v>1699.008</c:v>
                </c:pt>
                <c:pt idx="125">
                  <c:v>1660.0077000000001</c:v>
                </c:pt>
                <c:pt idx="126">
                  <c:v>1604.7638999999999</c:v>
                </c:pt>
                <c:pt idx="127">
                  <c:v>1534.8602000000001</c:v>
                </c:pt>
                <c:pt idx="128">
                  <c:v>1452.2988</c:v>
                </c:pt>
                <c:pt idx="129">
                  <c:v>1359.4431</c:v>
                </c:pt>
                <c:pt idx="130">
                  <c:v>1258.9503</c:v>
                </c:pt>
                <c:pt idx="131">
                  <c:v>1153.6956</c:v>
                </c:pt>
                <c:pt idx="132">
                  <c:v>1046.6898000000001</c:v>
                </c:pt>
                <c:pt idx="133">
                  <c:v>940.9932</c:v>
                </c:pt>
                <c:pt idx="134">
                  <c:v>839.62869999999998</c:v>
                </c:pt>
                <c:pt idx="135">
                  <c:v>745.49480000000005</c:v>
                </c:pt>
                <c:pt idx="136">
                  <c:v>661.28330000000005</c:v>
                </c:pt>
                <c:pt idx="137">
                  <c:v>589.40200000000004</c:v>
                </c:pt>
                <c:pt idx="138">
                  <c:v>531.90629999999999</c:v>
                </c:pt>
                <c:pt idx="139">
                  <c:v>490.44009999999997</c:v>
                </c:pt>
                <c:pt idx="140">
                  <c:v>466.1893</c:v>
                </c:pt>
                <c:pt idx="141">
                  <c:v>459.84739999999999</c:v>
                </c:pt>
                <c:pt idx="142">
                  <c:v>471.59629999999999</c:v>
                </c:pt>
                <c:pt idx="143">
                  <c:v>501.10039999999998</c:v>
                </c:pt>
                <c:pt idx="144">
                  <c:v>547.51700000000005</c:v>
                </c:pt>
                <c:pt idx="145">
                  <c:v>609.51959999999997</c:v>
                </c:pt>
                <c:pt idx="146">
                  <c:v>685.3365</c:v>
                </c:pt>
                <c:pt idx="147">
                  <c:v>772.80100000000004</c:v>
                </c:pt>
                <c:pt idx="148">
                  <c:v>869.41369999999995</c:v>
                </c:pt>
                <c:pt idx="149">
                  <c:v>972.4135</c:v>
                </c:pt>
                <c:pt idx="150">
                  <c:v>1078.8569</c:v>
                </c:pt>
                <c:pt idx="151">
                  <c:v>1185.7019</c:v>
                </c:pt>
                <c:pt idx="152">
                  <c:v>1289.8951</c:v>
                </c:pt>
                <c:pt idx="153">
                  <c:v>1388.4590000000001</c:v>
                </c:pt>
                <c:pt idx="154">
                  <c:v>1478.5767000000001</c:v>
                </c:pt>
                <c:pt idx="155">
                  <c:v>1557.6731</c:v>
                </c:pt>
                <c:pt idx="156">
                  <c:v>1623.4879000000001</c:v>
                </c:pt>
                <c:pt idx="157">
                  <c:v>1674.1405</c:v>
                </c:pt>
                <c:pt idx="158">
                  <c:v>1708.1835000000001</c:v>
                </c:pt>
                <c:pt idx="159">
                  <c:v>1724.6442999999999</c:v>
                </c:pt>
                <c:pt idx="160">
                  <c:v>1723.0527999999999</c:v>
                </c:pt>
                <c:pt idx="161">
                  <c:v>1703.4548</c:v>
                </c:pt>
                <c:pt idx="162">
                  <c:v>1666.4105</c:v>
                </c:pt>
                <c:pt idx="163">
                  <c:v>1612.9789000000001</c:v>
                </c:pt>
                <c:pt idx="164">
                  <c:v>1544.6869999999999</c:v>
                </c:pt>
                <c:pt idx="165">
                  <c:v>1463.4863</c:v>
                </c:pt>
                <c:pt idx="166">
                  <c:v>1371.6973</c:v>
                </c:pt>
                <c:pt idx="167">
                  <c:v>1271.9425000000001</c:v>
                </c:pt>
                <c:pt idx="168">
                  <c:v>1167.0721000000001</c:v>
                </c:pt>
                <c:pt idx="169">
                  <c:v>1060.0822000000001</c:v>
                </c:pt>
                <c:pt idx="170">
                  <c:v>954.02890000000002</c:v>
                </c:pt>
                <c:pt idx="171">
                  <c:v>851.94150000000002</c:v>
                </c:pt>
                <c:pt idx="172">
                  <c:v>756.73559999999998</c:v>
                </c:pt>
                <c:pt idx="173">
                  <c:v>671.12959999999998</c:v>
                </c:pt>
                <c:pt idx="174">
                  <c:v>597.5675</c:v>
                </c:pt>
                <c:pt idx="175">
                  <c:v>538.14859999999999</c:v>
                </c:pt>
                <c:pt idx="176">
                  <c:v>494.56790000000001</c:v>
                </c:pt>
                <c:pt idx="177">
                  <c:v>468.0675</c:v>
                </c:pt>
                <c:pt idx="178">
                  <c:v>459.40109999999999</c:v>
                </c:pt>
                <c:pt idx="179">
                  <c:v>468.81299999999999</c:v>
                </c:pt>
                <c:pt idx="180">
                  <c:v>496.03050000000002</c:v>
                </c:pt>
                <c:pt idx="181">
                  <c:v>540.2722</c:v>
                </c:pt>
                <c:pt idx="182">
                  <c:v>600.2704</c:v>
                </c:pt>
                <c:pt idx="183">
                  <c:v>674.30730000000005</c:v>
                </c:pt>
                <c:pt idx="184">
                  <c:v>760.26430000000005</c:v>
                </c:pt>
                <c:pt idx="185">
                  <c:v>855.68240000000003</c:v>
                </c:pt>
                <c:pt idx="186">
                  <c:v>957.83270000000005</c:v>
                </c:pt>
                <c:pt idx="187">
                  <c:v>1063.7945</c:v>
                </c:pt>
                <c:pt idx="188">
                  <c:v>1170.5387000000001</c:v>
                </c:pt>
                <c:pt idx="189">
                  <c:v>1275.0146</c:v>
                </c:pt>
                <c:pt idx="190">
                  <c:v>1374.2366999999999</c:v>
                </c:pt>
                <c:pt idx="191">
                  <c:v>1465.3705</c:v>
                </c:pt>
                <c:pt idx="192">
                  <c:v>1545.8130000000001</c:v>
                </c:pt>
                <c:pt idx="193">
                  <c:v>1613.2677000000001</c:v>
                </c:pt>
                <c:pt idx="194">
                  <c:v>1665.8095000000001</c:v>
                </c:pt>
                <c:pt idx="195">
                  <c:v>1701.9399000000001</c:v>
                </c:pt>
                <c:pt idx="196">
                  <c:v>1720.6301000000001</c:v>
                </c:pt>
                <c:pt idx="197">
                  <c:v>1721.3497</c:v>
                </c:pt>
                <c:pt idx="198">
                  <c:v>1704.0822000000001</c:v>
                </c:pt>
                <c:pt idx="199">
                  <c:v>1669.325</c:v>
                </c:pt>
                <c:pt idx="200">
                  <c:v>1618.0755999999999</c:v>
                </c:pt>
                <c:pt idx="201">
                  <c:v>1551.8023000000001</c:v>
                </c:pt>
                <c:pt idx="202">
                  <c:v>1472.4027000000001</c:v>
                </c:pt>
                <c:pt idx="203">
                  <c:v>1382.1488999999999</c:v>
                </c:pt>
                <c:pt idx="204">
                  <c:v>1283.6226999999999</c:v>
                </c:pt>
                <c:pt idx="205">
                  <c:v>1179.6419000000001</c:v>
                </c:pt>
                <c:pt idx="206">
                  <c:v>1073.1792</c:v>
                </c:pt>
                <c:pt idx="207">
                  <c:v>967.27760000000001</c:v>
                </c:pt>
                <c:pt idx="208">
                  <c:v>864.9633</c:v>
                </c:pt>
                <c:pt idx="209">
                  <c:v>769.15899999999999</c:v>
                </c:pt>
                <c:pt idx="210">
                  <c:v>682.60059999999999</c:v>
                </c:pt>
                <c:pt idx="211">
                  <c:v>607.75900000000001</c:v>
                </c:pt>
                <c:pt idx="212">
                  <c:v>546.76930000000004</c:v>
                </c:pt>
                <c:pt idx="213">
                  <c:v>501.37020000000001</c:v>
                </c:pt>
                <c:pt idx="214">
                  <c:v>472.85399999999998</c:v>
                </c:pt>
                <c:pt idx="215">
                  <c:v>462.03019999999998</c:v>
                </c:pt>
                <c:pt idx="216">
                  <c:v>469.202</c:v>
                </c:pt>
                <c:pt idx="217">
                  <c:v>494.15809999999999</c:v>
                </c:pt>
                <c:pt idx="218">
                  <c:v>536.17880000000002</c:v>
                </c:pt>
                <c:pt idx="219">
                  <c:v>594.05669999999998</c:v>
                </c:pt>
                <c:pt idx="220">
                  <c:v>666.13099999999997</c:v>
                </c:pt>
                <c:pt idx="221">
                  <c:v>750.33590000000004</c:v>
                </c:pt>
                <c:pt idx="222">
                  <c:v>844.25890000000004</c:v>
                </c:pt>
                <c:pt idx="223">
                  <c:v>945.21029999999996</c:v>
                </c:pt>
                <c:pt idx="224">
                  <c:v>1050.3003000000001</c:v>
                </c:pt>
                <c:pt idx="225">
                  <c:v>1156.5213000000001</c:v>
                </c:pt>
                <c:pt idx="226">
                  <c:v>1260.8342</c:v>
                </c:pt>
                <c:pt idx="227">
                  <c:v>1360.2552000000001</c:v>
                </c:pt>
                <c:pt idx="228">
                  <c:v>1451.9413</c:v>
                </c:pt>
                <c:pt idx="229">
                  <c:v>1533.2711999999999</c:v>
                </c:pt>
                <c:pt idx="230">
                  <c:v>1601.9206999999999</c:v>
                </c:pt>
                <c:pt idx="231">
                  <c:v>1655.9286</c:v>
                </c:pt>
                <c:pt idx="232">
                  <c:v>1693.7529999999999</c:v>
                </c:pt>
                <c:pt idx="233">
                  <c:v>1714.3154</c:v>
                </c:pt>
                <c:pt idx="234">
                  <c:v>1717.0309999999999</c:v>
                </c:pt>
                <c:pt idx="235">
                  <c:v>1701.8261</c:v>
                </c:pt>
                <c:pt idx="236">
                  <c:v>1669.1391000000001</c:v>
                </c:pt>
                <c:pt idx="237">
                  <c:v>1619.9087</c:v>
                </c:pt>
                <c:pt idx="238">
                  <c:v>1555.5467000000001</c:v>
                </c:pt>
                <c:pt idx="239">
                  <c:v>1477.8974000000001</c:v>
                </c:pt>
                <c:pt idx="240">
                  <c:v>1389.1848</c:v>
                </c:pt>
                <c:pt idx="241">
                  <c:v>1291.9492</c:v>
                </c:pt>
                <c:pt idx="242">
                  <c:v>1188.9743000000001</c:v>
                </c:pt>
                <c:pt idx="243">
                  <c:v>1083.2074</c:v>
                </c:pt>
                <c:pt idx="244">
                  <c:v>977.67550000000006</c:v>
                </c:pt>
                <c:pt idx="245">
                  <c:v>875.39850000000001</c:v>
                </c:pt>
                <c:pt idx="246">
                  <c:v>779.30250000000001</c:v>
                </c:pt>
                <c:pt idx="247">
                  <c:v>692.13689999999997</c:v>
                </c:pt>
                <c:pt idx="248">
                  <c:v>616.39499999999998</c:v>
                </c:pt>
                <c:pt idx="249">
                  <c:v>554.24350000000004</c:v>
                </c:pt>
                <c:pt idx="250">
                  <c:v>507.45979999999997</c:v>
                </c:pt>
                <c:pt idx="251">
                  <c:v>477.3818</c:v>
                </c:pt>
                <c:pt idx="252">
                  <c:v>464.86939999999998</c:v>
                </c:pt>
                <c:pt idx="253">
                  <c:v>470.2801</c:v>
                </c:pt>
                <c:pt idx="254">
                  <c:v>493.45890000000003</c:v>
                </c:pt>
                <c:pt idx="255">
                  <c:v>533.74220000000003</c:v>
                </c:pt>
                <c:pt idx="256">
                  <c:v>589.97760000000005</c:v>
                </c:pt>
                <c:pt idx="257">
                  <c:v>660.55640000000005</c:v>
                </c:pt>
                <c:pt idx="258">
                  <c:v>743.4597</c:v>
                </c:pt>
                <c:pt idx="259">
                  <c:v>836.31629999999996</c:v>
                </c:pt>
                <c:pt idx="260">
                  <c:v>936.47029999999995</c:v>
                </c:pt>
                <c:pt idx="261">
                  <c:v>1041.0569</c:v>
                </c:pt>
                <c:pt idx="262">
                  <c:v>1147.0849000000001</c:v>
                </c:pt>
                <c:pt idx="263">
                  <c:v>1251.5216</c:v>
                </c:pt>
                <c:pt idx="264">
                  <c:v>1351.3797</c:v>
                </c:pt>
                <c:pt idx="265">
                  <c:v>1443.8027999999999</c:v>
                </c:pt>
                <c:pt idx="266">
                  <c:v>1526.1469999999999</c:v>
                </c:pt>
                <c:pt idx="267">
                  <c:v>1596.0562</c:v>
                </c:pt>
                <c:pt idx="268">
                  <c:v>1651.53</c:v>
                </c:pt>
                <c:pt idx="269">
                  <c:v>1690.9803999999999</c:v>
                </c:pt>
                <c:pt idx="270">
                  <c:v>1713.2773</c:v>
                </c:pt>
                <c:pt idx="271">
                  <c:v>1717.7809999999999</c:v>
                </c:pt>
                <c:pt idx="272">
                  <c:v>1704.3603000000001</c:v>
                </c:pt>
                <c:pt idx="273">
                  <c:v>1673.3965000000001</c:v>
                </c:pt>
                <c:pt idx="274">
                  <c:v>1625.7723000000001</c:v>
                </c:pt>
                <c:pt idx="275">
                  <c:v>1562.8467000000001</c:v>
                </c:pt>
                <c:pt idx="276">
                  <c:v>1486.4163000000001</c:v>
                </c:pt>
                <c:pt idx="277">
                  <c:v>1398.6639</c:v>
                </c:pt>
                <c:pt idx="278">
                  <c:v>1302.0962</c:v>
                </c:pt>
                <c:pt idx="279">
                  <c:v>1199.4721999999999</c:v>
                </c:pt>
                <c:pt idx="280">
                  <c:v>1093.7246</c:v>
                </c:pt>
                <c:pt idx="281">
                  <c:v>987.87549999999999</c:v>
                </c:pt>
                <c:pt idx="282">
                  <c:v>884.95090000000005</c:v>
                </c:pt>
                <c:pt idx="283">
                  <c:v>787.89329999999995</c:v>
                </c:pt>
                <c:pt idx="284">
                  <c:v>699.47839999999997</c:v>
                </c:pt>
                <c:pt idx="285">
                  <c:v>622.2355</c:v>
                </c:pt>
                <c:pt idx="286">
                  <c:v>558.37490000000003</c:v>
                </c:pt>
                <c:pt idx="287">
                  <c:v>509.72539999999998</c:v>
                </c:pt>
                <c:pt idx="288">
                  <c:v>477.68119999999999</c:v>
                </c:pt>
                <c:pt idx="289">
                  <c:v>463.16239999999999</c:v>
                </c:pt>
                <c:pt idx="290">
                  <c:v>466.58859999999999</c:v>
                </c:pt>
                <c:pt idx="291">
                  <c:v>487.86680000000001</c:v>
                </c:pt>
                <c:pt idx="292">
                  <c:v>526.39350000000002</c:v>
                </c:pt>
                <c:pt idx="293">
                  <c:v>581.07259999999997</c:v>
                </c:pt>
                <c:pt idx="294">
                  <c:v>650.34580000000005</c:v>
                </c:pt>
                <c:pt idx="295">
                  <c:v>732.23720000000003</c:v>
                </c:pt>
                <c:pt idx="296">
                  <c:v>824.40980000000002</c:v>
                </c:pt>
                <c:pt idx="297">
                  <c:v>924.23220000000003</c:v>
                </c:pt>
                <c:pt idx="298">
                  <c:v>1028.8530000000001</c:v>
                </c:pt>
                <c:pt idx="299">
                  <c:v>1135.2829999999999</c:v>
                </c:pt>
                <c:pt idx="300">
                  <c:v>1240.4801</c:v>
                </c:pt>
                <c:pt idx="301">
                  <c:v>1341.4360999999999</c:v>
                </c:pt>
                <c:pt idx="302">
                  <c:v>1435.2628999999999</c:v>
                </c:pt>
                <c:pt idx="303">
                  <c:v>1519.2750000000001</c:v>
                </c:pt>
                <c:pt idx="304">
                  <c:v>1591.0661</c:v>
                </c:pt>
                <c:pt idx="305">
                  <c:v>1648.5784000000001</c:v>
                </c:pt>
                <c:pt idx="306">
                  <c:v>1690.1610000000001</c:v>
                </c:pt>
                <c:pt idx="307">
                  <c:v>1714.6179</c:v>
                </c:pt>
                <c:pt idx="308">
                  <c:v>1721.2418</c:v>
                </c:pt>
                <c:pt idx="309">
                  <c:v>1709.8353</c:v>
                </c:pt>
                <c:pt idx="310">
                  <c:v>1680.7161000000001</c:v>
                </c:pt>
                <c:pt idx="311">
                  <c:v>1634.7086999999999</c:v>
                </c:pt>
                <c:pt idx="312">
                  <c:v>1573.1211000000001</c:v>
                </c:pt>
                <c:pt idx="313">
                  <c:v>1497.7074</c:v>
                </c:pt>
                <c:pt idx="314">
                  <c:v>1410.6184000000001</c:v>
                </c:pt>
                <c:pt idx="315">
                  <c:v>1314.3402000000001</c:v>
                </c:pt>
                <c:pt idx="316">
                  <c:v>1211.6233999999999</c:v>
                </c:pt>
                <c:pt idx="317">
                  <c:v>1105.4046000000001</c:v>
                </c:pt>
                <c:pt idx="318">
                  <c:v>998.72230000000002</c:v>
                </c:pt>
                <c:pt idx="319">
                  <c:v>894.6309</c:v>
                </c:pt>
                <c:pt idx="320">
                  <c:v>796.11260000000004</c:v>
                </c:pt>
                <c:pt idx="321">
                  <c:v>705.99210000000005</c:v>
                </c:pt>
                <c:pt idx="322">
                  <c:v>626.85599999999999</c:v>
                </c:pt>
                <c:pt idx="323">
                  <c:v>560.9787</c:v>
                </c:pt>
                <c:pt idx="324">
                  <c:v>510.25639999999999</c:v>
                </c:pt>
                <c:pt idx="325">
                  <c:v>476.15289999999999</c:v>
                </c:pt>
                <c:pt idx="326">
                  <c:v>459.65750000000003</c:v>
                </c:pt>
                <c:pt idx="327">
                  <c:v>461.25580000000002</c:v>
                </c:pt>
                <c:pt idx="328">
                  <c:v>480.91539999999998</c:v>
                </c:pt>
                <c:pt idx="329">
                  <c:v>518.08640000000003</c:v>
                </c:pt>
                <c:pt idx="330">
                  <c:v>571.71669999999995</c:v>
                </c:pt>
                <c:pt idx="331">
                  <c:v>640.28129999999999</c:v>
                </c:pt>
                <c:pt idx="332">
                  <c:v>721.82560000000001</c:v>
                </c:pt>
                <c:pt idx="333">
                  <c:v>814.02089999999998</c:v>
                </c:pt>
                <c:pt idx="334">
                  <c:v>914.23080000000004</c:v>
                </c:pt>
                <c:pt idx="335">
                  <c:v>1019.5863000000001</c:v>
                </c:pt>
                <c:pt idx="336">
                  <c:v>1127.0678</c:v>
                </c:pt>
                <c:pt idx="337">
                  <c:v>1233.5916</c:v>
                </c:pt>
                <c:pt idx="338">
                  <c:v>1336.0979</c:v>
                </c:pt>
                <c:pt idx="339">
                  <c:v>1431.6392000000001</c:v>
                </c:pt>
                <c:pt idx="340">
                  <c:v>1517.4643000000001</c:v>
                </c:pt>
                <c:pt idx="341">
                  <c:v>1591.0983000000001</c:v>
                </c:pt>
                <c:pt idx="342">
                  <c:v>1650.4132</c:v>
                </c:pt>
                <c:pt idx="343">
                  <c:v>1693.6901</c:v>
                </c:pt>
                <c:pt idx="344">
                  <c:v>1719.6688999999999</c:v>
                </c:pt>
                <c:pt idx="345">
                  <c:v>1727.585</c:v>
                </c:pt>
                <c:pt idx="346">
                  <c:v>1717.1922</c:v>
                </c:pt>
                <c:pt idx="347">
                  <c:v>1688.7702999999999</c:v>
                </c:pt>
                <c:pt idx="348">
                  <c:v>1643.1179</c:v>
                </c:pt>
                <c:pt idx="349">
                  <c:v>1581.5302999999999</c:v>
                </c:pt>
                <c:pt idx="350">
                  <c:v>1505.7628</c:v>
                </c:pt>
                <c:pt idx="351">
                  <c:v>1417.9808</c:v>
                </c:pt>
                <c:pt idx="352">
                  <c:v>1320.6984</c:v>
                </c:pt>
                <c:pt idx="353">
                  <c:v>1216.7061000000001</c:v>
                </c:pt>
                <c:pt idx="354">
                  <c:v>1108.9912999999999</c:v>
                </c:pt>
                <c:pt idx="355">
                  <c:v>1000.6522</c:v>
                </c:pt>
                <c:pt idx="356">
                  <c:v>894.80880000000002</c:v>
                </c:pt>
                <c:pt idx="357">
                  <c:v>794.51279999999997</c:v>
                </c:pt>
                <c:pt idx="358">
                  <c:v>702.66010000000006</c:v>
                </c:pt>
                <c:pt idx="359">
                  <c:v>621.90599999999995</c:v>
                </c:pt>
                <c:pt idx="360">
                  <c:v>554.58929999999998</c:v>
                </c:pt>
                <c:pt idx="361">
                  <c:v>502.6635</c:v>
                </c:pt>
                <c:pt idx="362">
                  <c:v>467.64019999999999</c:v>
                </c:pt>
                <c:pt idx="363">
                  <c:v>450.54480000000001</c:v>
                </c:pt>
                <c:pt idx="364">
                  <c:v>451.88600000000002</c:v>
                </c:pt>
                <c:pt idx="365">
                  <c:v>471.6404</c:v>
                </c:pt>
                <c:pt idx="366">
                  <c:v>509.25229999999999</c:v>
                </c:pt>
                <c:pt idx="367">
                  <c:v>563.64940000000001</c:v>
                </c:pt>
                <c:pt idx="368">
                  <c:v>633.27279999999996</c:v>
                </c:pt>
                <c:pt idx="369">
                  <c:v>716.12149999999997</c:v>
                </c:pt>
                <c:pt idx="370">
                  <c:v>809.81</c:v>
                </c:pt>
                <c:pt idx="371">
                  <c:v>911.63670000000002</c:v>
                </c:pt>
                <c:pt idx="372">
                  <c:v>1018.6622</c:v>
                </c:pt>
                <c:pt idx="373">
                  <c:v>1127.7938999999999</c:v>
                </c:pt>
                <c:pt idx="374">
                  <c:v>1235.8757000000001</c:v>
                </c:pt>
                <c:pt idx="375">
                  <c:v>1339.7796000000001</c:v>
                </c:pt>
                <c:pt idx="376">
                  <c:v>1436.4967999999999</c:v>
                </c:pt>
                <c:pt idx="377">
                  <c:v>1523.2251000000001</c:v>
                </c:pt>
                <c:pt idx="378">
                  <c:v>1597.4503</c:v>
                </c:pt>
                <c:pt idx="379">
                  <c:v>1657.0202999999999</c:v>
                </c:pt>
                <c:pt idx="380">
                  <c:v>1700.2074</c:v>
                </c:pt>
                <c:pt idx="381">
                  <c:v>1725.7596000000001</c:v>
                </c:pt>
                <c:pt idx="382">
                  <c:v>1732.9367999999999</c:v>
                </c:pt>
                <c:pt idx="383">
                  <c:v>1721.5332000000001</c:v>
                </c:pt>
                <c:pt idx="384">
                  <c:v>1691.8837000000001</c:v>
                </c:pt>
                <c:pt idx="385">
                  <c:v>1644.8539000000001</c:v>
                </c:pt>
                <c:pt idx="386">
                  <c:v>1581.8157000000001</c:v>
                </c:pt>
                <c:pt idx="387">
                  <c:v>1504.6071999999999</c:v>
                </c:pt>
                <c:pt idx="388">
                  <c:v>1415.4791</c:v>
                </c:pt>
                <c:pt idx="389">
                  <c:v>1317.029</c:v>
                </c:pt>
                <c:pt idx="390">
                  <c:v>1212.1258</c:v>
                </c:pt>
                <c:pt idx="391">
                  <c:v>1103.8252</c:v>
                </c:pt>
                <c:pt idx="392">
                  <c:v>995.28060000000005</c:v>
                </c:pt>
                <c:pt idx="393">
                  <c:v>889.6508</c:v>
                </c:pt>
                <c:pt idx="394">
                  <c:v>790.00710000000004</c:v>
                </c:pt>
                <c:pt idx="395">
                  <c:v>699.24360000000001</c:v>
                </c:pt>
                <c:pt idx="396">
                  <c:v>619.99210000000005</c:v>
                </c:pt>
                <c:pt idx="397">
                  <c:v>554.54539999999997</c:v>
                </c:pt>
                <c:pt idx="398">
                  <c:v>504.78989999999999</c:v>
                </c:pt>
                <c:pt idx="399">
                  <c:v>472.1506</c:v>
                </c:pt>
                <c:pt idx="400">
                  <c:v>457.5498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89-4C9E-BC73-470B5ED79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3983807"/>
        <c:axId val="583988383"/>
      </c:lineChart>
      <c:catAx>
        <c:axId val="583983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資料筆數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83988383"/>
        <c:crosses val="autoZero"/>
        <c:auto val="1"/>
        <c:lblAlgn val="ctr"/>
        <c:lblOffset val="100"/>
        <c:noMultiLvlLbl val="0"/>
      </c:catAx>
      <c:valAx>
        <c:axId val="58398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ADC</a:t>
                </a:r>
                <a:r>
                  <a:rPr lang="zh-TW" altLang="en-US"/>
                  <a:t>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8398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57150</xdr:colOff>
      <xdr:row>6</xdr:row>
      <xdr:rowOff>38100</xdr:rowOff>
    </xdr:from>
    <xdr:to>
      <xdr:col>30</xdr:col>
      <xdr:colOff>361950</xdr:colOff>
      <xdr:row>19</xdr:row>
      <xdr:rowOff>106680</xdr:rowOff>
    </xdr:to>
    <xdr:graphicFrame macro="">
      <xdr:nvGraphicFramePr>
        <xdr:cNvPr id="16" name="圖表 15">
          <a:extLst>
            <a:ext uri="{FF2B5EF4-FFF2-40B4-BE49-F238E27FC236}">
              <a16:creationId xmlns:a16="http://schemas.microsoft.com/office/drawing/2014/main" id="{03F2020D-3363-424B-AE07-41C2B4E4F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47625</xdr:colOff>
      <xdr:row>64</xdr:row>
      <xdr:rowOff>66675</xdr:rowOff>
    </xdr:from>
    <xdr:to>
      <xdr:col>12</xdr:col>
      <xdr:colOff>504825</xdr:colOff>
      <xdr:row>77</xdr:row>
      <xdr:rowOff>85725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8AF99FC-A6E1-4861-B05D-6FD027A03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490537</xdr:colOff>
      <xdr:row>10</xdr:row>
      <xdr:rowOff>180975</xdr:rowOff>
    </xdr:from>
    <xdr:to>
      <xdr:col>12</xdr:col>
      <xdr:colOff>261937</xdr:colOff>
      <xdr:row>23</xdr:row>
      <xdr:rowOff>200025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A6DC188-4DF9-4D9F-A6DE-A07710844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433387</xdr:colOff>
      <xdr:row>10</xdr:row>
      <xdr:rowOff>28574</xdr:rowOff>
    </xdr:from>
    <xdr:to>
      <xdr:col>58</xdr:col>
      <xdr:colOff>485775</xdr:colOff>
      <xdr:row>31</xdr:row>
      <xdr:rowOff>185736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1AA6E0E1-B09B-4A4E-8215-BCDF3439BEF7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85A7-A240-4CA5-AD7D-2F4E76C5245C}">
  <dimension ref="A1:BI601"/>
  <sheetViews>
    <sheetView tabSelected="1" topLeftCell="A70" workbookViewId="0">
      <selection activeCell="AB149" sqref="AB149"/>
    </sheetView>
  </sheetViews>
  <sheetFormatPr defaultRowHeight="16.2" x14ac:dyDescent="0.3"/>
  <sheetData>
    <row r="1" spans="1:61" x14ac:dyDescent="0.3">
      <c r="A1" t="s">
        <v>5</v>
      </c>
      <c r="B1" t="s">
        <v>7</v>
      </c>
      <c r="C1" t="s">
        <v>32</v>
      </c>
      <c r="D1" t="s">
        <v>33</v>
      </c>
      <c r="E1" t="s">
        <v>6</v>
      </c>
      <c r="F1" t="s">
        <v>34</v>
      </c>
      <c r="L1" t="s">
        <v>0</v>
      </c>
      <c r="M1" t="s">
        <v>5</v>
      </c>
      <c r="N1" t="s">
        <v>6</v>
      </c>
      <c r="O1" t="s">
        <v>7</v>
      </c>
      <c r="Q1" t="s">
        <v>13</v>
      </c>
      <c r="R1" t="s">
        <v>5</v>
      </c>
      <c r="S1" t="s">
        <v>6</v>
      </c>
      <c r="T1" t="s">
        <v>7</v>
      </c>
      <c r="W1" t="s">
        <v>5</v>
      </c>
      <c r="X1" t="s">
        <v>7</v>
      </c>
      <c r="Y1" t="s">
        <v>32</v>
      </c>
      <c r="Z1" t="s">
        <v>33</v>
      </c>
      <c r="AA1" t="s">
        <v>35</v>
      </c>
      <c r="AB1" t="s">
        <v>34</v>
      </c>
      <c r="AI1" t="s">
        <v>5</v>
      </c>
      <c r="AJ1" t="s">
        <v>6</v>
      </c>
      <c r="AK1" t="s">
        <v>7</v>
      </c>
      <c r="AL1" t="s">
        <v>32</v>
      </c>
      <c r="AM1" t="s">
        <v>33</v>
      </c>
      <c r="AN1" t="s">
        <v>34</v>
      </c>
      <c r="AO1" t="s">
        <v>39</v>
      </c>
      <c r="AP1">
        <v>38</v>
      </c>
      <c r="AS1" t="s">
        <v>37</v>
      </c>
      <c r="AT1" t="s">
        <v>38</v>
      </c>
      <c r="AU1" t="s">
        <v>40</v>
      </c>
      <c r="AV1" t="s">
        <v>41</v>
      </c>
      <c r="AW1" t="s">
        <v>43</v>
      </c>
      <c r="AZ1" t="s">
        <v>42</v>
      </c>
      <c r="BB1" t="s">
        <v>5</v>
      </c>
      <c r="BC1" t="s">
        <v>6</v>
      </c>
      <c r="BD1" t="s">
        <v>7</v>
      </c>
      <c r="BE1" t="s">
        <v>32</v>
      </c>
      <c r="BF1" t="s">
        <v>34</v>
      </c>
      <c r="BG1" t="s">
        <v>33</v>
      </c>
      <c r="BH1" t="s">
        <v>39</v>
      </c>
      <c r="BI1">
        <v>38</v>
      </c>
    </row>
    <row r="2" spans="1:61" x14ac:dyDescent="0.3">
      <c r="A2">
        <v>1112</v>
      </c>
      <c r="B2">
        <v>1602</v>
      </c>
      <c r="C2">
        <v>1109.8294000000001</v>
      </c>
      <c r="D2">
        <v>1653.8538000000001</v>
      </c>
      <c r="E2">
        <v>1089</v>
      </c>
      <c r="F2">
        <v>1089.7440999999999</v>
      </c>
      <c r="M2">
        <v>1199</v>
      </c>
      <c r="N2">
        <v>1084</v>
      </c>
      <c r="O2">
        <v>104</v>
      </c>
      <c r="R2">
        <v>1082</v>
      </c>
      <c r="S2">
        <v>1074</v>
      </c>
      <c r="T2">
        <v>1460</v>
      </c>
      <c r="W2">
        <v>1172</v>
      </c>
      <c r="X2">
        <v>605</v>
      </c>
      <c r="Y2">
        <v>1174.9725000000001</v>
      </c>
      <c r="Z2">
        <v>578.10310000000004</v>
      </c>
      <c r="AA2">
        <v>1081</v>
      </c>
      <c r="AB2">
        <v>1080.5572999999999</v>
      </c>
      <c r="AI2">
        <v>1106</v>
      </c>
      <c r="AJ2">
        <v>1096</v>
      </c>
      <c r="AK2">
        <v>1688</v>
      </c>
      <c r="AL2">
        <v>1103.2828999999999</v>
      </c>
      <c r="AM2">
        <v>1096.5918999999999</v>
      </c>
      <c r="AN2">
        <v>1735.0437999999999</v>
      </c>
      <c r="AO2">
        <f>IF(ROW()-ROW($AL$2)+1&lt;=$AP$3, INT((ROW()-ROW($AL$2))/$AP$1)+1, "")</f>
        <v>1</v>
      </c>
      <c r="AP2">
        <v>10</v>
      </c>
      <c r="AR2">
        <f>ROW()-ROW($AR$2)+1</f>
        <v>1</v>
      </c>
      <c r="AS2">
        <f>AVERAGE(INDEX($AL:$AL,ROW($AL$2)+($AR2-1)*$AP$1):INDEX($AL:$AL,ROW($AL$2)+$AR2*$AP$1-1))</f>
        <v>1146.4975921052628</v>
      </c>
      <c r="AT2">
        <f>AVERAGE(INDEX($AM:$AM,ROW($AM$2)+($AR2-1)*$AP$1):INDEX($AM:$AM,ROW($AM$2)+$AR2*$AP$1-1))</f>
        <v>1095.8660973684212</v>
      </c>
      <c r="AU2" cm="1">
        <f t="array" ref="AU2">IF($AO2="","", $AL2 - INDEX($AS$2:$AS$11,$AO2))</f>
        <v>-43.214692105262884</v>
      </c>
      <c r="AV2" cm="1">
        <f t="array" ref="AV2">IF($AO2="","", $AM2 - INDEX($AT$2:$AT$11,$AO2))</f>
        <v>0.72580263157874469</v>
      </c>
      <c r="AW2">
        <f>IF($AO2="","", $AU2*$AV2)</f>
        <v>-31.365337252865004</v>
      </c>
      <c r="AZ2">
        <v>20.3157</v>
      </c>
      <c r="BB2">
        <v>1105</v>
      </c>
      <c r="BC2">
        <v>1096</v>
      </c>
      <c r="BD2">
        <v>1689</v>
      </c>
      <c r="BE2">
        <v>1102.0929000000001</v>
      </c>
      <c r="BF2">
        <v>1096.6396</v>
      </c>
      <c r="BG2">
        <v>1736.9061999999999</v>
      </c>
      <c r="BI2">
        <v>10</v>
      </c>
    </row>
    <row r="3" spans="1:61" x14ac:dyDescent="0.3">
      <c r="A3">
        <v>1122</v>
      </c>
      <c r="B3">
        <v>1514</v>
      </c>
      <c r="C3">
        <v>1120.5346</v>
      </c>
      <c r="D3">
        <v>1500.1655000000001</v>
      </c>
      <c r="E3">
        <v>1090</v>
      </c>
      <c r="F3">
        <v>1089.6774</v>
      </c>
      <c r="M3">
        <v>1185</v>
      </c>
      <c r="N3" t="s">
        <v>8</v>
      </c>
      <c r="R3">
        <v>1076</v>
      </c>
      <c r="S3">
        <v>1074</v>
      </c>
      <c r="T3">
        <v>1584</v>
      </c>
      <c r="W3">
        <v>1177</v>
      </c>
      <c r="X3">
        <v>491</v>
      </c>
      <c r="Y3">
        <v>1180.0771</v>
      </c>
      <c r="Z3">
        <v>469.16230000000002</v>
      </c>
      <c r="AA3">
        <v>1080</v>
      </c>
      <c r="AB3">
        <v>1080.0453</v>
      </c>
      <c r="AI3">
        <v>1111</v>
      </c>
      <c r="AJ3">
        <v>1096</v>
      </c>
      <c r="AK3">
        <v>1648</v>
      </c>
      <c r="AL3">
        <v>1113.0154</v>
      </c>
      <c r="AM3">
        <v>1097.0336</v>
      </c>
      <c r="AN3">
        <v>1625.4942000000001</v>
      </c>
      <c r="AO3">
        <f t="shared" ref="AO3:AO66" si="0">IF(ROW()-ROW($AL$2)+1&lt;=$AP$3, INT((ROW()-ROW($AL$2))/$AP$1)+1, "")</f>
        <v>1</v>
      </c>
      <c r="AP3">
        <f>AP1*AP2</f>
        <v>380</v>
      </c>
      <c r="AR3">
        <f t="shared" ref="AR3:AR11" si="1">ROW()-ROW($AR$2)+1</f>
        <v>2</v>
      </c>
      <c r="AS3">
        <f>AVERAGE(INDEX($AL:$AL,ROW($AL$2)+($AR3-1)*$AP$1):INDEX($AL:$AL,ROW($AL$2)+$AR3*$AP$1-1))</f>
        <v>1144.7569947368418</v>
      </c>
      <c r="AT3">
        <f>AVERAGE(INDEX($AM:$AM,ROW($AM$2)+($AR3-1)*$AP$1):INDEX($AM:$AM,ROW($AM$2)+$AR3*$AP$1-1))</f>
        <v>1095.6505973684209</v>
      </c>
      <c r="AU3" cm="1">
        <f t="array" ref="AU3">IF($AO3="","", $AL3 - INDEX($AS$2:$AS$11,$AO3))</f>
        <v>-33.482192105262811</v>
      </c>
      <c r="AV3" cm="1">
        <f t="array" ref="AV3">IF($AO3="","", $AM3 - INDEX($AT$2:$AT$11,$AO3))</f>
        <v>1.1675026315788273</v>
      </c>
      <c r="AW3">
        <f t="shared" ref="AW3:AW66" si="2">IF($AO3="","", $AU3*$AV3)</f>
        <v>-39.090547393922165</v>
      </c>
      <c r="BB3">
        <v>1109</v>
      </c>
      <c r="BC3">
        <v>1093</v>
      </c>
      <c r="BD3">
        <v>1648</v>
      </c>
      <c r="BE3">
        <v>1112.3987999999999</v>
      </c>
      <c r="BF3">
        <v>1097.1934000000001</v>
      </c>
      <c r="BG3">
        <v>1625.4635000000001</v>
      </c>
      <c r="BI3">
        <v>380</v>
      </c>
    </row>
    <row r="4" spans="1:61" x14ac:dyDescent="0.3">
      <c r="A4">
        <v>1126</v>
      </c>
      <c r="B4">
        <v>1416</v>
      </c>
      <c r="C4">
        <v>1131.1602</v>
      </c>
      <c r="D4">
        <v>1346.7871</v>
      </c>
      <c r="E4">
        <v>1091</v>
      </c>
      <c r="F4">
        <v>1089.6011000000001</v>
      </c>
      <c r="M4">
        <v>1176</v>
      </c>
      <c r="N4">
        <v>1081</v>
      </c>
      <c r="O4">
        <v>259</v>
      </c>
      <c r="R4">
        <v>1072</v>
      </c>
      <c r="S4">
        <v>1073</v>
      </c>
      <c r="T4">
        <v>1683</v>
      </c>
      <c r="W4">
        <v>1183</v>
      </c>
      <c r="X4">
        <v>400</v>
      </c>
      <c r="Y4">
        <v>1183.5969</v>
      </c>
      <c r="Z4">
        <v>378.37729999999999</v>
      </c>
      <c r="AA4">
        <v>1079</v>
      </c>
      <c r="AB4">
        <v>1079.4377999999999</v>
      </c>
      <c r="AI4">
        <v>1119</v>
      </c>
      <c r="AJ4">
        <v>1097</v>
      </c>
      <c r="AK4">
        <v>1595</v>
      </c>
      <c r="AL4">
        <v>1122.7563</v>
      </c>
      <c r="AM4">
        <v>1097.4670000000001</v>
      </c>
      <c r="AN4">
        <v>1515.1976</v>
      </c>
      <c r="AO4">
        <f t="shared" si="0"/>
        <v>1</v>
      </c>
      <c r="AR4">
        <f t="shared" si="1"/>
        <v>3</v>
      </c>
      <c r="AS4">
        <f>AVERAGE(INDEX($AL:$AL,ROW($AL$2)+($AR4-1)*$AP$1):INDEX($AL:$AL,ROW($AL$2)+$AR4*$AP$1-1))</f>
        <v>1145.1545499999997</v>
      </c>
      <c r="AT4">
        <f>AVERAGE(INDEX($AM:$AM,ROW($AM$2)+($AR4-1)*$AP$1):INDEX($AM:$AM,ROW($AM$2)+$AR4*$AP$1-1))</f>
        <v>1095.8894078947365</v>
      </c>
      <c r="AU4" cm="1">
        <f t="array" ref="AU4">IF($AO4="","", $AL4 - INDEX($AS$2:$AS$11,$AO4))</f>
        <v>-23.741292105262801</v>
      </c>
      <c r="AV4" cm="1">
        <f t="array" ref="AV4">IF($AO4="","", $AM4 - INDEX($AT$2:$AT$11,$AO4))</f>
        <v>1.600902631578947</v>
      </c>
      <c r="AW4">
        <f t="shared" si="2"/>
        <v>-38.007497008399696</v>
      </c>
      <c r="BB4">
        <v>1117</v>
      </c>
      <c r="BC4">
        <v>1095</v>
      </c>
      <c r="BD4">
        <v>1598</v>
      </c>
      <c r="BE4">
        <v>1122.7025000000001</v>
      </c>
      <c r="BF4">
        <v>1097.7342000000001</v>
      </c>
      <c r="BG4">
        <v>1513.2734</v>
      </c>
    </row>
    <row r="5" spans="1:61" x14ac:dyDescent="0.3">
      <c r="A5">
        <v>1138</v>
      </c>
      <c r="B5">
        <v>1303</v>
      </c>
      <c r="C5">
        <v>1141.4784</v>
      </c>
      <c r="D5">
        <v>1196.3699999999999</v>
      </c>
      <c r="E5">
        <v>1090</v>
      </c>
      <c r="F5">
        <v>1089.5053</v>
      </c>
      <c r="M5">
        <v>1167</v>
      </c>
      <c r="N5">
        <v>1081</v>
      </c>
      <c r="O5">
        <v>355</v>
      </c>
      <c r="R5">
        <v>1064</v>
      </c>
      <c r="S5">
        <v>1077</v>
      </c>
      <c r="T5" t="s">
        <v>14</v>
      </c>
      <c r="W5">
        <v>1183</v>
      </c>
      <c r="X5">
        <v>326</v>
      </c>
      <c r="Y5">
        <v>1185.4289000000001</v>
      </c>
      <c r="Z5">
        <v>308.39659999999998</v>
      </c>
      <c r="AA5">
        <v>1080</v>
      </c>
      <c r="AB5">
        <v>1078.7520999999999</v>
      </c>
      <c r="AG5" t="s">
        <v>36</v>
      </c>
      <c r="AI5">
        <v>1126</v>
      </c>
      <c r="AJ5">
        <v>1098</v>
      </c>
      <c r="AK5">
        <v>1534</v>
      </c>
      <c r="AL5">
        <v>1132.3593000000001</v>
      </c>
      <c r="AM5">
        <v>1097.8771999999999</v>
      </c>
      <c r="AN5">
        <v>1405.2781</v>
      </c>
      <c r="AO5">
        <f t="shared" si="0"/>
        <v>1</v>
      </c>
      <c r="AR5">
        <f t="shared" si="1"/>
        <v>4</v>
      </c>
      <c r="AS5">
        <f>AVERAGE(INDEX($AL:$AL,ROW($AL$2)+($AR5-1)*$AP$1):INDEX($AL:$AL,ROW($AL$2)+$AR5*$AP$1-1))</f>
        <v>1144.6306710526312</v>
      </c>
      <c r="AT5">
        <f>AVERAGE(INDEX($AM:$AM,ROW($AM$2)+($AR5-1)*$AP$1):INDEX($AM:$AM,ROW($AM$2)+$AR5*$AP$1-1))</f>
        <v>1095.424392105263</v>
      </c>
      <c r="AU5" cm="1">
        <f t="array" ref="AU5">IF($AO5="","", $AL5 - INDEX($AS$2:$AS$11,$AO5))</f>
        <v>-14.138292105262735</v>
      </c>
      <c r="AV5" cm="1">
        <f t="array" ref="AV5">IF($AO5="","", $AM5 - INDEX($AT$2:$AT$11,$AO5))</f>
        <v>2.0111026315787512</v>
      </c>
      <c r="AW5">
        <f t="shared" si="2"/>
        <v>-28.433556458922968</v>
      </c>
      <c r="BB5">
        <v>1124</v>
      </c>
      <c r="BC5">
        <v>1097</v>
      </c>
      <c r="BD5">
        <v>1535</v>
      </c>
      <c r="BE5">
        <v>1132.8434999999999</v>
      </c>
      <c r="BF5">
        <v>1098.2430999999999</v>
      </c>
      <c r="BG5">
        <v>1401.5092999999999</v>
      </c>
    </row>
    <row r="6" spans="1:61" x14ac:dyDescent="0.3">
      <c r="A6">
        <v>1147</v>
      </c>
      <c r="B6">
        <v>1194</v>
      </c>
      <c r="C6">
        <v>1151.2663</v>
      </c>
      <c r="D6">
        <v>1051.5482</v>
      </c>
      <c r="E6">
        <v>1090</v>
      </c>
      <c r="F6">
        <v>1089.3809000000001</v>
      </c>
      <c r="M6">
        <v>1155</v>
      </c>
      <c r="N6">
        <v>1080</v>
      </c>
      <c r="O6">
        <v>477</v>
      </c>
      <c r="R6">
        <v>1067</v>
      </c>
      <c r="S6">
        <v>1075</v>
      </c>
      <c r="T6">
        <v>1831</v>
      </c>
      <c r="W6">
        <v>1183</v>
      </c>
      <c r="X6">
        <v>274</v>
      </c>
      <c r="Y6">
        <v>1185.5197000000001</v>
      </c>
      <c r="Z6">
        <v>261.26080000000002</v>
      </c>
      <c r="AA6">
        <v>1077</v>
      </c>
      <c r="AB6">
        <v>1078.0083</v>
      </c>
      <c r="AI6">
        <v>1131</v>
      </c>
      <c r="AJ6">
        <v>1097</v>
      </c>
      <c r="AK6">
        <v>1462</v>
      </c>
      <c r="AL6">
        <v>1141.6769999999999</v>
      </c>
      <c r="AM6">
        <v>1098.2499</v>
      </c>
      <c r="AN6">
        <v>1296.9088999999999</v>
      </c>
      <c r="AO6">
        <f t="shared" si="0"/>
        <v>1</v>
      </c>
      <c r="AR6">
        <f t="shared" si="1"/>
        <v>5</v>
      </c>
      <c r="AS6">
        <f>AVERAGE(INDEX($AL:$AL,ROW($AL$2)+($AR6-1)*$AP$1):INDEX($AL:$AL,ROW($AL$2)+$AR6*$AP$1-1))</f>
        <v>1145.182102631579</v>
      </c>
      <c r="AT6">
        <f>AVERAGE(INDEX($AM:$AM,ROW($AM$2)+($AR6-1)*$AP$1):INDEX($AM:$AM,ROW($AM$2)+$AR6*$AP$1-1))</f>
        <v>1095.1160473684211</v>
      </c>
      <c r="AU6" cm="1">
        <f t="array" ref="AU6">IF($AO6="","", $AL6 - INDEX($AS$2:$AS$11,$AO6))</f>
        <v>-4.8205921052629037</v>
      </c>
      <c r="AV6" cm="1">
        <f t="array" ref="AV6">IF($AO6="","", $AM6 - INDEX($AT$2:$AT$11,$AO6))</f>
        <v>2.3838026315788738</v>
      </c>
      <c r="AW6">
        <f t="shared" si="2"/>
        <v>-11.491340146294053</v>
      </c>
      <c r="BB6">
        <v>1134</v>
      </c>
      <c r="BC6">
        <v>1100</v>
      </c>
      <c r="BD6">
        <v>1468</v>
      </c>
      <c r="BE6">
        <v>1142.6612</v>
      </c>
      <c r="BF6">
        <v>1098.7022999999999</v>
      </c>
      <c r="BG6">
        <v>1291.3937000000001</v>
      </c>
    </row>
    <row r="7" spans="1:61" x14ac:dyDescent="0.3">
      <c r="A7">
        <v>1158</v>
      </c>
      <c r="B7">
        <v>1063</v>
      </c>
      <c r="C7">
        <v>1160.3116</v>
      </c>
      <c r="D7">
        <v>914.87950000000001</v>
      </c>
      <c r="E7">
        <v>1090</v>
      </c>
      <c r="F7">
        <v>1089.2199000000001</v>
      </c>
      <c r="M7">
        <v>1144</v>
      </c>
      <c r="N7">
        <v>1080</v>
      </c>
      <c r="O7">
        <v>619</v>
      </c>
      <c r="R7">
        <v>1068</v>
      </c>
      <c r="S7">
        <v>1076</v>
      </c>
      <c r="T7">
        <v>1863</v>
      </c>
      <c r="W7">
        <v>1185</v>
      </c>
      <c r="X7">
        <v>236</v>
      </c>
      <c r="Y7">
        <v>1183.8667</v>
      </c>
      <c r="Z7">
        <v>238.3426</v>
      </c>
      <c r="AA7">
        <v>1077</v>
      </c>
      <c r="AB7">
        <v>1077.2280000000001</v>
      </c>
      <c r="AI7">
        <v>1139</v>
      </c>
      <c r="AJ7">
        <v>1098</v>
      </c>
      <c r="AK7">
        <v>1384</v>
      </c>
      <c r="AL7">
        <v>1150.5643</v>
      </c>
      <c r="AM7">
        <v>1098.5719999999999</v>
      </c>
      <c r="AN7">
        <v>1191.3010999999999</v>
      </c>
      <c r="AO7">
        <f t="shared" si="0"/>
        <v>1</v>
      </c>
      <c r="AR7">
        <f t="shared" si="1"/>
        <v>6</v>
      </c>
      <c r="AS7">
        <f>AVERAGE(INDEX($AL:$AL,ROW($AL$2)+($AR7-1)*$AP$1):INDEX($AL:$AL,ROW($AL$2)+$AR7*$AP$1-1))</f>
        <v>1145.7723078947365</v>
      </c>
      <c r="AT7">
        <f>AVERAGE(INDEX($AM:$AM,ROW($AM$2)+($AR7-1)*$AP$1):INDEX($AM:$AM,ROW($AM$2)+$AR7*$AP$1-1))</f>
        <v>1096.3769394736839</v>
      </c>
      <c r="AU7" cm="1">
        <f t="array" ref="AU7">IF($AO7="","", $AL7 - INDEX($AS$2:$AS$11,$AO7))</f>
        <v>4.066707894737192</v>
      </c>
      <c r="AV7" cm="1">
        <f t="array" ref="AV7">IF($AO7="","", $AM7 - INDEX($AT$2:$AT$11,$AO7))</f>
        <v>2.7059026315787378</v>
      </c>
      <c r="AW7">
        <f t="shared" si="2"/>
        <v>11.004115594231397</v>
      </c>
      <c r="BB7">
        <v>1140</v>
      </c>
      <c r="BC7">
        <v>1099</v>
      </c>
      <c r="BD7">
        <v>1385</v>
      </c>
      <c r="BE7">
        <v>1151.9983999999999</v>
      </c>
      <c r="BF7">
        <v>1099.0953</v>
      </c>
      <c r="BG7">
        <v>1184.1855</v>
      </c>
    </row>
    <row r="8" spans="1:61" x14ac:dyDescent="0.3">
      <c r="A8">
        <v>1161</v>
      </c>
      <c r="B8">
        <v>956</v>
      </c>
      <c r="C8">
        <v>1168.4181000000001</v>
      </c>
      <c r="D8">
        <v>788.78830000000005</v>
      </c>
      <c r="E8">
        <v>1088</v>
      </c>
      <c r="F8">
        <v>1089.0155999999999</v>
      </c>
      <c r="M8">
        <v>1134</v>
      </c>
      <c r="N8">
        <v>1080</v>
      </c>
      <c r="O8">
        <v>776</v>
      </c>
      <c r="R8">
        <v>1073</v>
      </c>
      <c r="S8">
        <v>1077</v>
      </c>
      <c r="T8">
        <v>1871</v>
      </c>
      <c r="W8">
        <v>1178</v>
      </c>
      <c r="X8">
        <v>225</v>
      </c>
      <c r="Y8">
        <v>1180.5186000000001</v>
      </c>
      <c r="Z8">
        <v>240.30609999999999</v>
      </c>
      <c r="AA8">
        <v>1075</v>
      </c>
      <c r="AB8">
        <v>1076.4336000000001</v>
      </c>
      <c r="AI8">
        <v>1144</v>
      </c>
      <c r="AJ8">
        <v>1099</v>
      </c>
      <c r="AK8">
        <v>1290</v>
      </c>
      <c r="AL8">
        <v>1158.8812</v>
      </c>
      <c r="AM8">
        <v>1098.8316</v>
      </c>
      <c r="AN8">
        <v>1089.6890000000001</v>
      </c>
      <c r="AO8">
        <f t="shared" si="0"/>
        <v>1</v>
      </c>
      <c r="AR8">
        <f t="shared" si="1"/>
        <v>7</v>
      </c>
      <c r="AS8">
        <f>AVERAGE(INDEX($AL:$AL,ROW($AL$2)+($AR8-1)*$AP$1):INDEX($AL:$AL,ROW($AL$2)+$AR8*$AP$1-1))</f>
        <v>1145.8930868421055</v>
      </c>
      <c r="AT8">
        <f>AVERAGE(INDEX($AM:$AM,ROW($AM$2)+($AR8-1)*$AP$1):INDEX($AM:$AM,ROW($AM$2)+$AR8*$AP$1-1))</f>
        <v>1096.1602</v>
      </c>
      <c r="AU8" cm="1">
        <f t="array" ref="AU8">IF($AO8="","", $AL8 - INDEX($AS$2:$AS$11,$AO8))</f>
        <v>12.383607894737224</v>
      </c>
      <c r="AV8" cm="1">
        <f t="array" ref="AV8">IF($AO8="","", $AM8 - INDEX($AT$2:$AT$11,$AO8))</f>
        <v>2.9655026315788291</v>
      </c>
      <c r="AW8">
        <f t="shared" si="2"/>
        <v>36.723621800283603</v>
      </c>
      <c r="BB8">
        <v>1148</v>
      </c>
      <c r="BC8">
        <v>1098</v>
      </c>
      <c r="BD8">
        <v>1288</v>
      </c>
      <c r="BE8">
        <v>1160.7041999999999</v>
      </c>
      <c r="BF8">
        <v>1099.4075</v>
      </c>
      <c r="BG8">
        <v>1081.1643999999999</v>
      </c>
    </row>
    <row r="9" spans="1:61" x14ac:dyDescent="0.3">
      <c r="A9">
        <v>1170</v>
      </c>
      <c r="B9">
        <v>844</v>
      </c>
      <c r="C9">
        <v>1175.4110000000001</v>
      </c>
      <c r="D9">
        <v>675.50869999999998</v>
      </c>
      <c r="E9">
        <v>1090</v>
      </c>
      <c r="F9">
        <v>1088.7632000000001</v>
      </c>
      <c r="M9">
        <v>1106</v>
      </c>
      <c r="N9">
        <v>1078</v>
      </c>
      <c r="O9">
        <v>1054</v>
      </c>
      <c r="R9">
        <v>1072</v>
      </c>
      <c r="S9">
        <v>1075</v>
      </c>
      <c r="T9">
        <v>1856</v>
      </c>
      <c r="W9">
        <v>1176</v>
      </c>
      <c r="X9">
        <v>234</v>
      </c>
      <c r="Y9">
        <v>1175.5736999999999</v>
      </c>
      <c r="Z9">
        <v>267.08670000000001</v>
      </c>
      <c r="AA9">
        <v>1075</v>
      </c>
      <c r="AB9">
        <v>1075.6483000000001</v>
      </c>
      <c r="AI9">
        <v>1154</v>
      </c>
      <c r="AJ9">
        <v>1099</v>
      </c>
      <c r="AK9">
        <v>1191</v>
      </c>
      <c r="AL9">
        <v>1166.4954</v>
      </c>
      <c r="AM9">
        <v>1099.0188000000001</v>
      </c>
      <c r="AN9">
        <v>993.31370000000004</v>
      </c>
      <c r="AO9">
        <f t="shared" si="0"/>
        <v>1</v>
      </c>
      <c r="AR9">
        <f t="shared" si="1"/>
        <v>8</v>
      </c>
      <c r="AS9">
        <f>AVERAGE(INDEX($AL:$AL,ROW($AL$2)+($AR9-1)*$AP$1):INDEX($AL:$AL,ROW($AL$2)+$AR9*$AP$1-1))</f>
        <v>1145.2303394736839</v>
      </c>
      <c r="AT9">
        <f>AVERAGE(INDEX($AM:$AM,ROW($AM$2)+($AR9-1)*$AP$1):INDEX($AM:$AM,ROW($AM$2)+$AR9*$AP$1-1))</f>
        <v>1096.0095394736841</v>
      </c>
      <c r="AU9" cm="1">
        <f t="array" ref="AU9">IF($AO9="","", $AL9 - INDEX($AS$2:$AS$11,$AO9))</f>
        <v>19.997807894737207</v>
      </c>
      <c r="AV9" cm="1">
        <f t="array" ref="AV9">IF($AO9="","", $AM9 - INDEX($AT$2:$AT$11,$AO9))</f>
        <v>3.1527026315789044</v>
      </c>
      <c r="AW9">
        <f t="shared" si="2"/>
        <v>63.047141575547386</v>
      </c>
      <c r="BB9">
        <v>1157</v>
      </c>
      <c r="BC9">
        <v>1099</v>
      </c>
      <c r="BD9">
        <v>1187</v>
      </c>
      <c r="BE9">
        <v>1168.6376</v>
      </c>
      <c r="BF9">
        <v>1099.6268</v>
      </c>
      <c r="BG9">
        <v>983.61279999999999</v>
      </c>
    </row>
    <row r="10" spans="1:61" x14ac:dyDescent="0.3">
      <c r="A10">
        <v>1178</v>
      </c>
      <c r="B10">
        <v>730</v>
      </c>
      <c r="C10">
        <v>1181.1414</v>
      </c>
      <c r="D10">
        <v>577.03179999999998</v>
      </c>
      <c r="E10">
        <v>1088</v>
      </c>
      <c r="F10">
        <v>1088.4597000000001</v>
      </c>
      <c r="M10">
        <v>1099</v>
      </c>
      <c r="N10">
        <v>1080</v>
      </c>
      <c r="O10">
        <v>1258</v>
      </c>
      <c r="R10">
        <v>1078</v>
      </c>
      <c r="S10">
        <v>1077</v>
      </c>
      <c r="T10">
        <v>1821</v>
      </c>
      <c r="W10">
        <v>1171</v>
      </c>
      <c r="X10">
        <v>266</v>
      </c>
      <c r="Y10">
        <v>1169.1772000000001</v>
      </c>
      <c r="Z10">
        <v>317.8929</v>
      </c>
      <c r="AA10">
        <v>1075</v>
      </c>
      <c r="AB10">
        <v>1074.8948</v>
      </c>
      <c r="AI10">
        <v>1162</v>
      </c>
      <c r="AJ10">
        <v>1098</v>
      </c>
      <c r="AK10">
        <v>1094</v>
      </c>
      <c r="AL10">
        <v>1173.2855999999999</v>
      </c>
      <c r="AM10">
        <v>1099.1258</v>
      </c>
      <c r="AN10">
        <v>903.40340000000003</v>
      </c>
      <c r="AO10">
        <f t="shared" si="0"/>
        <v>1</v>
      </c>
      <c r="AR10">
        <f t="shared" si="1"/>
        <v>9</v>
      </c>
      <c r="AS10">
        <f>AVERAGE(INDEX($AL:$AL,ROW($AL$2)+($AR10-1)*$AP$1):INDEX($AL:$AL,ROW($AL$2)+$AR10*$AP$1-1))</f>
        <v>1145.7552552631578</v>
      </c>
      <c r="AT10">
        <f>AVERAGE(INDEX($AM:$AM,ROW($AM$2)+($AR10-1)*$AP$1):INDEX($AM:$AM,ROW($AM$2)+$AR10*$AP$1-1))</f>
        <v>1095.9886236842108</v>
      </c>
      <c r="AU10" cm="1">
        <f t="array" ref="AU10">IF($AO10="","", $AL10 - INDEX($AS$2:$AS$11,$AO10))</f>
        <v>26.78800789473712</v>
      </c>
      <c r="AV10" cm="1">
        <f t="array" ref="AV10">IF($AO10="","", $AM10 - INDEX($AT$2:$AT$11,$AO10))</f>
        <v>3.2597026315788753</v>
      </c>
      <c r="AW10">
        <f t="shared" si="2"/>
        <v>87.320939829230284</v>
      </c>
      <c r="BB10">
        <v>1161</v>
      </c>
      <c r="BC10">
        <v>1095</v>
      </c>
      <c r="BD10">
        <v>1084</v>
      </c>
      <c r="BE10">
        <v>1175.6704999999999</v>
      </c>
      <c r="BF10">
        <v>1099.7437</v>
      </c>
      <c r="BG10">
        <v>892.79510000000005</v>
      </c>
    </row>
    <row r="11" spans="1:61" x14ac:dyDescent="0.3">
      <c r="A11">
        <v>1181</v>
      </c>
      <c r="B11">
        <v>629</v>
      </c>
      <c r="C11">
        <v>1185.4908</v>
      </c>
      <c r="D11">
        <v>495.05680000000001</v>
      </c>
      <c r="E11">
        <v>1089</v>
      </c>
      <c r="F11">
        <v>1088.1043</v>
      </c>
      <c r="M11">
        <v>1091</v>
      </c>
      <c r="N11">
        <v>1081</v>
      </c>
      <c r="O11">
        <v>1426</v>
      </c>
      <c r="R11">
        <v>1087</v>
      </c>
      <c r="S11" t="s">
        <v>15</v>
      </c>
      <c r="W11">
        <v>1168</v>
      </c>
      <c r="X11">
        <v>313</v>
      </c>
      <c r="Y11">
        <v>1161.5170000000001</v>
      </c>
      <c r="Z11">
        <v>391.22919999999999</v>
      </c>
      <c r="AA11">
        <v>1074</v>
      </c>
      <c r="AB11">
        <v>1074.1949999999999</v>
      </c>
      <c r="AI11">
        <v>1171</v>
      </c>
      <c r="AJ11">
        <v>1099</v>
      </c>
      <c r="AK11">
        <v>1003</v>
      </c>
      <c r="AL11">
        <v>1179.1441</v>
      </c>
      <c r="AM11">
        <v>1099.1472000000001</v>
      </c>
      <c r="AN11">
        <v>821.1508</v>
      </c>
      <c r="AO11">
        <f t="shared" si="0"/>
        <v>1</v>
      </c>
      <c r="AR11">
        <f t="shared" si="1"/>
        <v>10</v>
      </c>
      <c r="AS11">
        <f>AVERAGE(INDEX($AL:$AL,ROW($AL$2)+($AR11-1)*$AP$1):INDEX($AL:$AL,ROW($AL$2)+$AR11*$AP$1-1))</f>
        <v>1146.0661868421055</v>
      </c>
      <c r="AT11">
        <f>AVERAGE(INDEX($AM:$AM,ROW($AM$2)+($AR11-1)*$AP$1):INDEX($AM:$AM,ROW($AM$2)+$AR11*$AP$1-1))</f>
        <v>1096.1582263157893</v>
      </c>
      <c r="AU11" cm="1">
        <f t="array" ref="AU11">IF($AO11="","", $AL11 - INDEX($AS$2:$AS$11,$AO11))</f>
        <v>32.646507894737169</v>
      </c>
      <c r="AV11" cm="1">
        <f t="array" ref="AV11">IF($AO11="","", $AM11 - INDEX($AT$2:$AT$11,$AO11))</f>
        <v>3.2811026315789604</v>
      </c>
      <c r="AW11">
        <f t="shared" si="2"/>
        <v>107.11654296528543</v>
      </c>
      <c r="BB11">
        <v>1187</v>
      </c>
      <c r="BC11">
        <v>1126</v>
      </c>
      <c r="BD11">
        <v>1012</v>
      </c>
      <c r="BE11">
        <v>1181.6902</v>
      </c>
      <c r="BF11">
        <v>1099.7520999999999</v>
      </c>
      <c r="BG11">
        <v>809.93470000000002</v>
      </c>
    </row>
    <row r="12" spans="1:61" x14ac:dyDescent="0.3">
      <c r="A12">
        <v>1183</v>
      </c>
      <c r="B12">
        <v>534</v>
      </c>
      <c r="C12">
        <v>1188.374</v>
      </c>
      <c r="D12">
        <v>430.94819999999999</v>
      </c>
      <c r="E12">
        <v>1090</v>
      </c>
      <c r="F12">
        <v>1087.6986999999999</v>
      </c>
      <c r="M12">
        <v>1083</v>
      </c>
      <c r="N12">
        <v>1079</v>
      </c>
      <c r="O12">
        <v>1571</v>
      </c>
      <c r="R12">
        <v>1093</v>
      </c>
      <c r="S12">
        <v>1079</v>
      </c>
      <c r="T12">
        <v>1719</v>
      </c>
      <c r="W12">
        <v>1157</v>
      </c>
      <c r="X12">
        <v>392</v>
      </c>
      <c r="Y12">
        <v>1152.8179</v>
      </c>
      <c r="Z12">
        <v>484.93970000000002</v>
      </c>
      <c r="AA12">
        <v>1073</v>
      </c>
      <c r="AB12">
        <v>1073.569</v>
      </c>
      <c r="AI12">
        <v>1173</v>
      </c>
      <c r="AJ12">
        <v>1096</v>
      </c>
      <c r="AK12">
        <v>885</v>
      </c>
      <c r="AL12">
        <v>1183.9792</v>
      </c>
      <c r="AM12">
        <v>1099.0803000000001</v>
      </c>
      <c r="AN12">
        <v>747.68949999999995</v>
      </c>
      <c r="AO12">
        <f t="shared" si="0"/>
        <v>1</v>
      </c>
      <c r="AU12" cm="1">
        <f t="array" ref="AU12">IF($AO12="","", $AL12 - INDEX($AS$2:$AS$11,$AO12))</f>
        <v>37.481607894737181</v>
      </c>
      <c r="AV12" cm="1">
        <f t="array" ref="AV12">IF($AO12="","", $AM12 - INDEX($AT$2:$AT$11,$AO12))</f>
        <v>3.214202631578928</v>
      </c>
      <c r="AW12">
        <f t="shared" si="2"/>
        <v>120.47348273107377</v>
      </c>
      <c r="BB12">
        <v>1176</v>
      </c>
      <c r="BC12">
        <v>1098</v>
      </c>
      <c r="BD12">
        <v>870</v>
      </c>
      <c r="BE12">
        <v>1186.6030000000001</v>
      </c>
      <c r="BF12">
        <v>1099.6491000000001</v>
      </c>
      <c r="BG12">
        <v>736.18849999999998</v>
      </c>
    </row>
    <row r="13" spans="1:61" x14ac:dyDescent="0.3">
      <c r="A13">
        <v>1186</v>
      </c>
      <c r="B13">
        <v>452</v>
      </c>
      <c r="C13">
        <v>1189.7415000000001</v>
      </c>
      <c r="D13">
        <v>385.69990000000001</v>
      </c>
      <c r="E13">
        <v>1088</v>
      </c>
      <c r="F13">
        <v>1087.2465999999999</v>
      </c>
      <c r="M13">
        <v>1075</v>
      </c>
      <c r="N13">
        <v>1081</v>
      </c>
      <c r="O13">
        <v>1719</v>
      </c>
      <c r="R13">
        <v>1101</v>
      </c>
      <c r="S13">
        <v>1079</v>
      </c>
      <c r="T13">
        <v>1644</v>
      </c>
      <c r="W13">
        <v>1149</v>
      </c>
      <c r="X13">
        <v>601</v>
      </c>
      <c r="Y13">
        <v>1143.3353999999999</v>
      </c>
      <c r="Z13">
        <v>596.27170000000001</v>
      </c>
      <c r="AA13">
        <v>1073</v>
      </c>
      <c r="AB13">
        <v>1073.0350000000001</v>
      </c>
      <c r="AI13">
        <v>1179</v>
      </c>
      <c r="AJ13">
        <v>1098</v>
      </c>
      <c r="AK13">
        <v>810</v>
      </c>
      <c r="AL13">
        <v>1187.7179000000001</v>
      </c>
      <c r="AM13">
        <v>1098.9249</v>
      </c>
      <c r="AN13">
        <v>684.06780000000003</v>
      </c>
      <c r="AO13">
        <f t="shared" si="0"/>
        <v>1</v>
      </c>
      <c r="AU13" cm="1">
        <f t="array" ref="AU13">IF($AO13="","", $AL13 - INDEX($AS$2:$AS$11,$AO13))</f>
        <v>41.220307894737289</v>
      </c>
      <c r="AV13" cm="1">
        <f t="array" ref="AV13">IF($AO13="","", $AM13 - INDEX($AT$2:$AT$11,$AO13))</f>
        <v>3.0588026315788284</v>
      </c>
      <c r="AW13">
        <f t="shared" si="2"/>
        <v>126.08478626291198</v>
      </c>
      <c r="BB13">
        <v>1183</v>
      </c>
      <c r="BC13">
        <v>1095</v>
      </c>
      <c r="BD13">
        <v>789</v>
      </c>
      <c r="BE13">
        <v>1190.3356000000001</v>
      </c>
      <c r="BF13">
        <v>1099.4350999999999</v>
      </c>
      <c r="BG13">
        <v>672.62070000000006</v>
      </c>
    </row>
    <row r="14" spans="1:61" x14ac:dyDescent="0.3">
      <c r="A14">
        <v>1185</v>
      </c>
      <c r="B14">
        <v>403</v>
      </c>
      <c r="C14">
        <v>1189.5814</v>
      </c>
      <c r="D14">
        <v>359.90649999999999</v>
      </c>
      <c r="E14">
        <v>1085</v>
      </c>
      <c r="F14">
        <v>1086.7542000000001</v>
      </c>
      <c r="M14">
        <v>1070</v>
      </c>
      <c r="N14">
        <v>1081</v>
      </c>
      <c r="O14">
        <v>1843</v>
      </c>
      <c r="R14">
        <v>1112</v>
      </c>
      <c r="S14">
        <v>1080</v>
      </c>
      <c r="T14">
        <v>1551</v>
      </c>
      <c r="W14">
        <v>1132</v>
      </c>
      <c r="X14">
        <v>713</v>
      </c>
      <c r="Y14">
        <v>1133.3479</v>
      </c>
      <c r="Z14">
        <v>721.95609999999999</v>
      </c>
      <c r="AA14">
        <v>1073</v>
      </c>
      <c r="AB14">
        <v>1072.6084000000001</v>
      </c>
      <c r="AI14">
        <v>1186</v>
      </c>
      <c r="AJ14">
        <v>1098</v>
      </c>
      <c r="AK14">
        <v>728</v>
      </c>
      <c r="AL14">
        <v>1190.3072999999999</v>
      </c>
      <c r="AM14">
        <v>1098.6839</v>
      </c>
      <c r="AN14">
        <v>631.22220000000004</v>
      </c>
      <c r="AO14">
        <f t="shared" si="0"/>
        <v>1</v>
      </c>
      <c r="AU14" cm="1">
        <f t="array" ref="AU14">IF($AO14="","", $AL14 - INDEX($AS$2:$AS$11,$AO14))</f>
        <v>43.80970789473713</v>
      </c>
      <c r="AV14" cm="1">
        <f t="array" ref="AV14">IF($AO14="","", $AM14 - INDEX($AT$2:$AT$11,$AO14))</f>
        <v>2.8178026315788429</v>
      </c>
      <c r="AW14">
        <f t="shared" si="2"/>
        <v>123.44711019449069</v>
      </c>
      <c r="BB14">
        <v>1186</v>
      </c>
      <c r="BC14">
        <v>1098</v>
      </c>
      <c r="BD14">
        <v>704</v>
      </c>
      <c r="BE14">
        <v>1192.8377</v>
      </c>
      <c r="BF14">
        <v>1099.1142</v>
      </c>
      <c r="BG14">
        <v>620.17529999999999</v>
      </c>
    </row>
    <row r="15" spans="1:61" x14ac:dyDescent="0.3">
      <c r="A15">
        <v>1187</v>
      </c>
      <c r="B15">
        <v>375</v>
      </c>
      <c r="C15">
        <v>1187.92</v>
      </c>
      <c r="D15">
        <v>353.74470000000002</v>
      </c>
      <c r="E15">
        <v>1085</v>
      </c>
      <c r="F15">
        <v>1086.2294999999999</v>
      </c>
      <c r="M15">
        <v>1064</v>
      </c>
      <c r="N15">
        <v>1083</v>
      </c>
      <c r="O15">
        <v>1944</v>
      </c>
      <c r="R15">
        <v>1119</v>
      </c>
      <c r="S15">
        <v>1080</v>
      </c>
      <c r="T15" t="s">
        <v>16</v>
      </c>
      <c r="W15">
        <v>1121</v>
      </c>
      <c r="X15">
        <v>847</v>
      </c>
      <c r="Y15">
        <v>1123.1485</v>
      </c>
      <c r="Z15">
        <v>858.30399999999997</v>
      </c>
      <c r="AA15">
        <v>1071</v>
      </c>
      <c r="AB15">
        <v>1072.3013000000001</v>
      </c>
      <c r="AI15">
        <v>1190</v>
      </c>
      <c r="AJ15">
        <v>1098</v>
      </c>
      <c r="AK15">
        <v>645</v>
      </c>
      <c r="AL15">
        <v>1191.7168999999999</v>
      </c>
      <c r="AM15">
        <v>1098.3625999999999</v>
      </c>
      <c r="AN15">
        <v>589.95010000000002</v>
      </c>
      <c r="AO15">
        <f t="shared" si="0"/>
        <v>1</v>
      </c>
      <c r="AU15" cm="1">
        <f t="array" ref="AU15">IF($AO15="","", $AL15 - INDEX($AS$2:$AS$11,$AO15))</f>
        <v>45.219307894737085</v>
      </c>
      <c r="AV15" cm="1">
        <f t="array" ref="AV15">IF($AO15="","", $AM15 - INDEX($AT$2:$AT$11,$AO15))</f>
        <v>2.4965026315787782</v>
      </c>
      <c r="AW15">
        <f t="shared" si="2"/>
        <v>112.89012115738215</v>
      </c>
      <c r="BB15">
        <v>1190</v>
      </c>
      <c r="BC15">
        <v>1095</v>
      </c>
      <c r="BD15">
        <v>622</v>
      </c>
      <c r="BE15">
        <v>1194.0832</v>
      </c>
      <c r="BF15">
        <v>1098.6937</v>
      </c>
      <c r="BG15">
        <v>579.64859999999999</v>
      </c>
    </row>
    <row r="16" spans="1:61" x14ac:dyDescent="0.3">
      <c r="A16">
        <v>1183</v>
      </c>
      <c r="B16">
        <v>370</v>
      </c>
      <c r="C16">
        <v>1184.8209999999999</v>
      </c>
      <c r="D16">
        <v>366.96280000000002</v>
      </c>
      <c r="E16">
        <v>1083</v>
      </c>
      <c r="F16">
        <v>1085.6827000000001</v>
      </c>
      <c r="M16">
        <v>1064</v>
      </c>
      <c r="N16">
        <v>1082</v>
      </c>
      <c r="O16">
        <v>2015</v>
      </c>
      <c r="R16" t="s">
        <v>17</v>
      </c>
      <c r="W16">
        <v>1113</v>
      </c>
      <c r="X16">
        <v>1004</v>
      </c>
      <c r="Y16">
        <v>1113.0364999999999</v>
      </c>
      <c r="Z16">
        <v>1001.3152</v>
      </c>
      <c r="AA16">
        <v>1071</v>
      </c>
      <c r="AB16">
        <v>1072.1225999999999</v>
      </c>
      <c r="AI16">
        <v>1191</v>
      </c>
      <c r="AJ16">
        <v>1098</v>
      </c>
      <c r="AK16">
        <v>574</v>
      </c>
      <c r="AL16">
        <v>1191.9395</v>
      </c>
      <c r="AM16">
        <v>1097.9689000000001</v>
      </c>
      <c r="AN16">
        <v>560.88379999999995</v>
      </c>
      <c r="AO16">
        <f t="shared" si="0"/>
        <v>1</v>
      </c>
      <c r="AU16" cm="1">
        <f t="array" ref="AU16">IF($AO16="","", $AL16 - INDEX($AS$2:$AS$11,$AO16))</f>
        <v>45.441907894737142</v>
      </c>
      <c r="AV16" cm="1">
        <f t="array" ref="AV16">IF($AO16="","", $AM16 - INDEX($AT$2:$AT$11,$AO16))</f>
        <v>2.1028026315789248</v>
      </c>
      <c r="AW16">
        <f t="shared" si="2"/>
        <v>95.555363505020381</v>
      </c>
      <c r="BB16">
        <v>1195</v>
      </c>
      <c r="BC16">
        <v>1095</v>
      </c>
      <c r="BD16">
        <v>554</v>
      </c>
      <c r="BE16">
        <v>1194.0716</v>
      </c>
      <c r="BF16">
        <v>1098.1840999999999</v>
      </c>
      <c r="BG16">
        <v>551.66309999999999</v>
      </c>
    </row>
    <row r="17" spans="1:59" x14ac:dyDescent="0.3">
      <c r="A17">
        <v>1183</v>
      </c>
      <c r="B17">
        <v>378</v>
      </c>
      <c r="C17">
        <v>1180.384</v>
      </c>
      <c r="D17">
        <v>398.88159999999999</v>
      </c>
      <c r="E17">
        <v>1084</v>
      </c>
      <c r="F17">
        <v>1085.1255000000001</v>
      </c>
      <c r="M17">
        <v>1064</v>
      </c>
      <c r="N17">
        <v>1083</v>
      </c>
      <c r="O17">
        <v>2058</v>
      </c>
      <c r="R17">
        <v>1156</v>
      </c>
      <c r="S17">
        <v>1079</v>
      </c>
      <c r="T17">
        <v>928</v>
      </c>
      <c r="W17">
        <v>1099</v>
      </c>
      <c r="X17">
        <v>1150</v>
      </c>
      <c r="Y17">
        <v>1103.3085000000001</v>
      </c>
      <c r="Z17">
        <v>1146.796</v>
      </c>
      <c r="AA17">
        <v>1071</v>
      </c>
      <c r="AB17">
        <v>1072.0772999999999</v>
      </c>
      <c r="AI17">
        <v>1191</v>
      </c>
      <c r="AJ17">
        <v>1097</v>
      </c>
      <c r="AK17">
        <v>514</v>
      </c>
      <c r="AL17">
        <v>1190.9915000000001</v>
      </c>
      <c r="AM17">
        <v>1097.5132000000001</v>
      </c>
      <c r="AN17">
        <v>544.46579999999994</v>
      </c>
      <c r="AO17">
        <f t="shared" si="0"/>
        <v>1</v>
      </c>
      <c r="AU17" cm="1">
        <f t="array" ref="AU17">IF($AO17="","", $AL17 - INDEX($AS$2:$AS$11,$AO17))</f>
        <v>44.493907894737276</v>
      </c>
      <c r="AV17" cm="1">
        <f t="array" ref="AV17">IF($AO17="","", $AM17 - INDEX($AT$2:$AT$11,$AO17))</f>
        <v>1.6471026315789459</v>
      </c>
      <c r="AW17">
        <f t="shared" si="2"/>
        <v>73.28603278265301</v>
      </c>
      <c r="BB17">
        <v>1191</v>
      </c>
      <c r="BC17">
        <v>1095</v>
      </c>
      <c r="BD17">
        <v>502</v>
      </c>
      <c r="BE17">
        <v>1192.8280999999999</v>
      </c>
      <c r="BF17">
        <v>1097.5988</v>
      </c>
      <c r="BG17">
        <v>536.64269999999999</v>
      </c>
    </row>
    <row r="18" spans="1:59" x14ac:dyDescent="0.3">
      <c r="A18">
        <v>1176</v>
      </c>
      <c r="B18">
        <v>402</v>
      </c>
      <c r="C18">
        <v>1174.7428</v>
      </c>
      <c r="D18">
        <v>448.40390000000002</v>
      </c>
      <c r="E18">
        <v>1083</v>
      </c>
      <c r="F18">
        <v>1084.5706</v>
      </c>
      <c r="M18">
        <v>1069</v>
      </c>
      <c r="N18">
        <v>1084</v>
      </c>
      <c r="O18">
        <v>2076</v>
      </c>
      <c r="R18">
        <v>1165</v>
      </c>
      <c r="S18">
        <v>1081</v>
      </c>
      <c r="T18">
        <v>813</v>
      </c>
      <c r="W18">
        <v>1093</v>
      </c>
      <c r="X18">
        <v>1291</v>
      </c>
      <c r="Y18">
        <v>1094.2493999999999</v>
      </c>
      <c r="Z18">
        <v>1290.4831999999999</v>
      </c>
      <c r="AA18">
        <v>1072</v>
      </c>
      <c r="AB18">
        <v>1072.1663000000001</v>
      </c>
      <c r="AI18">
        <v>1186</v>
      </c>
      <c r="AJ18">
        <v>1096</v>
      </c>
      <c r="AK18">
        <v>474</v>
      </c>
      <c r="AL18">
        <v>1188.914</v>
      </c>
      <c r="AM18">
        <v>1097.0077000000001</v>
      </c>
      <c r="AN18">
        <v>540.92660000000001</v>
      </c>
      <c r="AO18">
        <f t="shared" si="0"/>
        <v>1</v>
      </c>
      <c r="AU18" cm="1">
        <f t="array" ref="AU18">IF($AO18="","", $AL18 - INDEX($AS$2:$AS$11,$AO18))</f>
        <v>42.416407894737176</v>
      </c>
      <c r="AV18" cm="1">
        <f t="array" ref="AV18">IF($AO18="","", $AM18 - INDEX($AT$2:$AT$11,$AO18))</f>
        <v>1.1416026315789622</v>
      </c>
      <c r="AW18">
        <f t="shared" si="2"/>
        <v>48.422682874758628</v>
      </c>
      <c r="BB18">
        <v>1191</v>
      </c>
      <c r="BC18">
        <v>1094</v>
      </c>
      <c r="BD18">
        <v>471</v>
      </c>
      <c r="BE18">
        <v>1190.4034999999999</v>
      </c>
      <c r="BF18">
        <v>1096.9534000000001</v>
      </c>
      <c r="BG18">
        <v>534.79070000000002</v>
      </c>
    </row>
    <row r="19" spans="1:59" x14ac:dyDescent="0.3">
      <c r="A19">
        <v>1170</v>
      </c>
      <c r="B19">
        <v>436</v>
      </c>
      <c r="C19">
        <v>1168.0613000000001</v>
      </c>
      <c r="D19">
        <v>514.03589999999997</v>
      </c>
      <c r="E19">
        <v>1084</v>
      </c>
      <c r="F19">
        <v>1084.0319</v>
      </c>
      <c r="M19">
        <v>1069</v>
      </c>
      <c r="N19">
        <v>1083</v>
      </c>
      <c r="O19">
        <v>2061</v>
      </c>
      <c r="R19">
        <v>1171</v>
      </c>
      <c r="S19">
        <v>1080</v>
      </c>
      <c r="T19">
        <v>681</v>
      </c>
      <c r="W19">
        <v>1086</v>
      </c>
      <c r="X19">
        <v>1430</v>
      </c>
      <c r="Y19">
        <v>1086.1244999999999</v>
      </c>
      <c r="Z19">
        <v>1428.1697999999999</v>
      </c>
      <c r="AA19">
        <v>1072</v>
      </c>
      <c r="AB19">
        <v>1072.3868</v>
      </c>
      <c r="AI19">
        <v>1189</v>
      </c>
      <c r="AJ19">
        <v>1096</v>
      </c>
      <c r="AK19">
        <v>459</v>
      </c>
      <c r="AL19">
        <v>1185.7717</v>
      </c>
      <c r="AM19">
        <v>1096.4664</v>
      </c>
      <c r="AN19">
        <v>550.26570000000004</v>
      </c>
      <c r="AO19">
        <f t="shared" si="0"/>
        <v>1</v>
      </c>
      <c r="AU19" cm="1">
        <f t="array" ref="AU19">IF($AO19="","", $AL19 - INDEX($AS$2:$AS$11,$AO19))</f>
        <v>39.274107894737199</v>
      </c>
      <c r="AV19" cm="1">
        <f t="array" ref="AV19">IF($AO19="","", $AM19 - INDEX($AT$2:$AT$11,$AO19))</f>
        <v>0.6003026315788702</v>
      </c>
      <c r="AW19">
        <f t="shared" si="2"/>
        <v>23.576350322123222</v>
      </c>
      <c r="BB19">
        <v>1191</v>
      </c>
      <c r="BC19">
        <v>1095</v>
      </c>
      <c r="BD19">
        <v>460</v>
      </c>
      <c r="BE19">
        <v>1186.874</v>
      </c>
      <c r="BF19">
        <v>1096.2657999999999</v>
      </c>
      <c r="BG19">
        <v>546.07169999999996</v>
      </c>
    </row>
    <row r="20" spans="1:59" x14ac:dyDescent="0.3">
      <c r="A20">
        <v>1167</v>
      </c>
      <c r="B20">
        <v>491</v>
      </c>
      <c r="C20">
        <v>1160.5297</v>
      </c>
      <c r="D20">
        <v>593.9171</v>
      </c>
      <c r="E20">
        <v>1082</v>
      </c>
      <c r="F20">
        <v>1083.5233000000001</v>
      </c>
      <c r="M20">
        <v>1075</v>
      </c>
      <c r="N20">
        <v>1086</v>
      </c>
      <c r="O20">
        <v>2031</v>
      </c>
      <c r="R20">
        <v>1175</v>
      </c>
      <c r="S20">
        <v>1080</v>
      </c>
      <c r="T20">
        <v>569</v>
      </c>
      <c r="W20">
        <v>1082</v>
      </c>
      <c r="X20">
        <v>1557</v>
      </c>
      <c r="Y20">
        <v>1079.1712</v>
      </c>
      <c r="Z20">
        <v>1555.8290999999999</v>
      </c>
      <c r="AA20">
        <v>1073</v>
      </c>
      <c r="AB20">
        <v>1072.7321999999999</v>
      </c>
      <c r="AI20">
        <v>1186</v>
      </c>
      <c r="AJ20">
        <v>1096</v>
      </c>
      <c r="AK20">
        <v>464</v>
      </c>
      <c r="AL20">
        <v>1181.6521</v>
      </c>
      <c r="AM20">
        <v>1095.9045000000001</v>
      </c>
      <c r="AN20">
        <v>572.23779999999999</v>
      </c>
      <c r="AO20">
        <f t="shared" si="0"/>
        <v>1</v>
      </c>
      <c r="AU20" cm="1">
        <f t="array" ref="AU20">IF($AO20="","", $AL20 - INDEX($AS$2:$AS$11,$AO20))</f>
        <v>35.154507894737208</v>
      </c>
      <c r="AV20" cm="1">
        <f t="array" ref="AV20">IF($AO20="","", $AM20 - INDEX($AT$2:$AT$11,$AO20))</f>
        <v>3.8402631578946966E-2</v>
      </c>
      <c r="AW20">
        <f t="shared" si="2"/>
        <v>1.3500256150207754</v>
      </c>
      <c r="BB20">
        <v>1183</v>
      </c>
      <c r="BC20">
        <v>1093</v>
      </c>
      <c r="BD20">
        <v>468</v>
      </c>
      <c r="BE20">
        <v>1182.3394000000001</v>
      </c>
      <c r="BF20">
        <v>1095.5552</v>
      </c>
      <c r="BG20">
        <v>570.19799999999998</v>
      </c>
    </row>
    <row r="21" spans="1:59" x14ac:dyDescent="0.3">
      <c r="A21">
        <v>1155</v>
      </c>
      <c r="B21">
        <v>563</v>
      </c>
      <c r="C21">
        <v>1152.3596</v>
      </c>
      <c r="D21">
        <v>685.86059999999998</v>
      </c>
      <c r="E21">
        <v>1080</v>
      </c>
      <c r="F21">
        <v>1083.059</v>
      </c>
      <c r="M21">
        <v>1083</v>
      </c>
      <c r="N21">
        <v>1088</v>
      </c>
      <c r="O21">
        <v>1976</v>
      </c>
      <c r="R21">
        <v>1182</v>
      </c>
      <c r="S21">
        <v>1079</v>
      </c>
      <c r="T21">
        <v>465</v>
      </c>
      <c r="W21">
        <v>1073</v>
      </c>
      <c r="X21">
        <v>1667</v>
      </c>
      <c r="Y21">
        <v>1073.5921000000001</v>
      </c>
      <c r="Z21">
        <v>1669.7334000000001</v>
      </c>
      <c r="AA21">
        <v>1071</v>
      </c>
      <c r="AB21">
        <v>1073.192</v>
      </c>
      <c r="AI21">
        <v>1183</v>
      </c>
      <c r="AJ21">
        <v>1092</v>
      </c>
      <c r="AK21">
        <v>486</v>
      </c>
      <c r="AL21">
        <v>1176.6646000000001</v>
      </c>
      <c r="AM21">
        <v>1095.3380999999999</v>
      </c>
      <c r="AN21">
        <v>606.34360000000004</v>
      </c>
      <c r="AO21">
        <f t="shared" si="0"/>
        <v>1</v>
      </c>
      <c r="AU21" cm="1">
        <f t="array" ref="AU21">IF($AO21="","", $AL21 - INDEX($AS$2:$AS$11,$AO21))</f>
        <v>30.167007894737253</v>
      </c>
      <c r="AV21" cm="1">
        <f t="array" ref="AV21">IF($AO21="","", $AM21 - INDEX($AT$2:$AT$11,$AO21))</f>
        <v>-0.52799736842121092</v>
      </c>
      <c r="AW21">
        <f t="shared" si="2"/>
        <v>-15.928100781563163</v>
      </c>
      <c r="BB21">
        <v>1183</v>
      </c>
      <c r="BC21">
        <v>1094</v>
      </c>
      <c r="BD21">
        <v>494</v>
      </c>
      <c r="BE21">
        <v>1176.9218000000001</v>
      </c>
      <c r="BF21">
        <v>1094.8416</v>
      </c>
      <c r="BG21">
        <v>606.62159999999994</v>
      </c>
    </row>
    <row r="22" spans="1:59" x14ac:dyDescent="0.3">
      <c r="A22">
        <v>1147</v>
      </c>
      <c r="B22">
        <v>648</v>
      </c>
      <c r="C22">
        <v>1143.7784999999999</v>
      </c>
      <c r="D22">
        <v>787.40170000000001</v>
      </c>
      <c r="E22">
        <v>1082</v>
      </c>
      <c r="F22">
        <v>1082.6523</v>
      </c>
      <c r="M22">
        <v>1091</v>
      </c>
      <c r="N22">
        <v>1086</v>
      </c>
      <c r="O22">
        <v>1896</v>
      </c>
      <c r="R22">
        <v>1183</v>
      </c>
      <c r="S22">
        <v>1079</v>
      </c>
      <c r="T22">
        <v>378</v>
      </c>
      <c r="W22">
        <v>1069</v>
      </c>
      <c r="X22">
        <v>1757</v>
      </c>
      <c r="Y22">
        <v>1069.5491999999999</v>
      </c>
      <c r="Z22">
        <v>1766.5644</v>
      </c>
      <c r="AA22">
        <v>1073</v>
      </c>
      <c r="AB22">
        <v>1073.7525000000001</v>
      </c>
      <c r="AI22">
        <v>1178</v>
      </c>
      <c r="AJ22">
        <v>1094</v>
      </c>
      <c r="AK22">
        <v>530</v>
      </c>
      <c r="AL22">
        <v>1170.9376</v>
      </c>
      <c r="AM22">
        <v>1094.7836</v>
      </c>
      <c r="AN22">
        <v>651.82669999999996</v>
      </c>
      <c r="AO22">
        <f t="shared" si="0"/>
        <v>1</v>
      </c>
      <c r="AU22" cm="1">
        <f t="array" ref="AU22">IF($AO22="","", $AL22 - INDEX($AS$2:$AS$11,$AO22))</f>
        <v>24.440007894737164</v>
      </c>
      <c r="AV22" cm="1">
        <f t="array" ref="AV22">IF($AO22="","", $AM22 - INDEX($AT$2:$AT$11,$AO22))</f>
        <v>-1.0824973684211727</v>
      </c>
      <c r="AW22">
        <f t="shared" si="2"/>
        <v>-26.456244230245666</v>
      </c>
      <c r="BB22">
        <v>1177</v>
      </c>
      <c r="BC22">
        <v>1093</v>
      </c>
      <c r="BD22">
        <v>533</v>
      </c>
      <c r="BE22">
        <v>1170.7626</v>
      </c>
      <c r="BF22">
        <v>1094.1454000000001</v>
      </c>
      <c r="BG22">
        <v>654.53229999999996</v>
      </c>
    </row>
    <row r="23" spans="1:59" x14ac:dyDescent="0.3">
      <c r="A23">
        <v>1142</v>
      </c>
      <c r="B23">
        <v>748</v>
      </c>
      <c r="C23">
        <v>1135.0237</v>
      </c>
      <c r="D23">
        <v>895.85360000000003</v>
      </c>
      <c r="E23">
        <v>1082</v>
      </c>
      <c r="F23">
        <v>1082.3154999999999</v>
      </c>
      <c r="M23">
        <v>1102</v>
      </c>
      <c r="N23">
        <v>1089</v>
      </c>
      <c r="O23">
        <v>1791</v>
      </c>
      <c r="R23">
        <v>1187</v>
      </c>
      <c r="S23">
        <v>1076</v>
      </c>
      <c r="T23">
        <v>311</v>
      </c>
      <c r="W23">
        <v>1067</v>
      </c>
      <c r="X23">
        <v>1832</v>
      </c>
      <c r="Y23">
        <v>1067.1587999999999</v>
      </c>
      <c r="Z23">
        <v>1843.5102999999999</v>
      </c>
      <c r="AA23">
        <v>1075</v>
      </c>
      <c r="AB23">
        <v>1074.3969999999999</v>
      </c>
      <c r="AI23">
        <v>1171</v>
      </c>
      <c r="AJ23">
        <v>1094</v>
      </c>
      <c r="AK23">
        <v>575</v>
      </c>
      <c r="AL23">
        <v>1164.6167</v>
      </c>
      <c r="AM23">
        <v>1094.2570000000001</v>
      </c>
      <c r="AN23">
        <v>707.67729999999995</v>
      </c>
      <c r="AO23">
        <f t="shared" si="0"/>
        <v>1</v>
      </c>
      <c r="AU23" cm="1">
        <f t="array" ref="AU23">IF($AO23="","", $AL23 - INDEX($AS$2:$AS$11,$AO23))</f>
        <v>18.119107894737226</v>
      </c>
      <c r="AV23" cm="1">
        <f t="array" ref="AV23">IF($AO23="","", $AM23 - INDEX($AT$2:$AT$11,$AO23))</f>
        <v>-1.6090973684210894</v>
      </c>
      <c r="AW23">
        <f t="shared" si="2"/>
        <v>-29.155408831559456</v>
      </c>
      <c r="BB23">
        <v>1168</v>
      </c>
      <c r="BC23">
        <v>1092</v>
      </c>
      <c r="BD23">
        <v>580</v>
      </c>
      <c r="BE23">
        <v>1164.02</v>
      </c>
      <c r="BF23">
        <v>1093.4863</v>
      </c>
      <c r="BG23">
        <v>712.86220000000003</v>
      </c>
    </row>
    <row r="24" spans="1:59" x14ac:dyDescent="0.3">
      <c r="A24">
        <v>1130</v>
      </c>
      <c r="B24">
        <v>860</v>
      </c>
      <c r="C24">
        <v>1126.3362999999999</v>
      </c>
      <c r="D24">
        <v>1008.3708</v>
      </c>
      <c r="E24">
        <v>1082</v>
      </c>
      <c r="F24">
        <v>1082.0595000000001</v>
      </c>
      <c r="M24">
        <v>1111</v>
      </c>
      <c r="N24">
        <v>1089</v>
      </c>
      <c r="O24">
        <v>1670</v>
      </c>
      <c r="R24">
        <v>1185</v>
      </c>
      <c r="S24">
        <v>1079</v>
      </c>
      <c r="T24">
        <v>273</v>
      </c>
      <c r="W24">
        <v>1066</v>
      </c>
      <c r="X24">
        <v>1875</v>
      </c>
      <c r="Y24">
        <v>1066.4884999999999</v>
      </c>
      <c r="Z24">
        <v>1898.3493000000001</v>
      </c>
      <c r="AA24">
        <v>1073</v>
      </c>
      <c r="AB24">
        <v>1075.1063999999999</v>
      </c>
      <c r="AI24">
        <v>1168</v>
      </c>
      <c r="AJ24">
        <v>1093</v>
      </c>
      <c r="AK24">
        <v>636</v>
      </c>
      <c r="AL24">
        <v>1157.8613</v>
      </c>
      <c r="AM24">
        <v>1093.7738999999999</v>
      </c>
      <c r="AN24">
        <v>772.64269999999999</v>
      </c>
      <c r="AO24">
        <f t="shared" si="0"/>
        <v>1</v>
      </c>
      <c r="AU24" cm="1">
        <f t="array" ref="AU24">IF($AO24="","", $AL24 - INDEX($AS$2:$AS$11,$AO24))</f>
        <v>11.363707894737217</v>
      </c>
      <c r="AV24" cm="1">
        <f t="array" ref="AV24">IF($AO24="","", $AM24 - INDEX($AT$2:$AT$11,$AO24))</f>
        <v>-2.0921973684212389</v>
      </c>
      <c r="AW24">
        <f t="shared" si="2"/>
        <v>-23.775119752876865</v>
      </c>
      <c r="BB24">
        <v>1164</v>
      </c>
      <c r="BC24">
        <v>1092</v>
      </c>
      <c r="BD24">
        <v>644</v>
      </c>
      <c r="BE24">
        <v>1156.8656000000001</v>
      </c>
      <c r="BF24">
        <v>1092.8833999999999</v>
      </c>
      <c r="BG24">
        <v>780.29790000000003</v>
      </c>
    </row>
    <row r="25" spans="1:59" x14ac:dyDescent="0.3">
      <c r="A25">
        <v>1116</v>
      </c>
      <c r="B25">
        <v>1100</v>
      </c>
      <c r="C25">
        <v>1117.9546</v>
      </c>
      <c r="D25">
        <v>1122.0157999999999</v>
      </c>
      <c r="E25">
        <v>1082</v>
      </c>
      <c r="F25">
        <v>1081.8933999999999</v>
      </c>
      <c r="M25">
        <v>1119</v>
      </c>
      <c r="N25">
        <v>1090</v>
      </c>
      <c r="O25">
        <v>1529</v>
      </c>
      <c r="R25">
        <v>1184</v>
      </c>
      <c r="S25">
        <v>1075</v>
      </c>
      <c r="T25">
        <v>265</v>
      </c>
      <c r="W25">
        <v>1067</v>
      </c>
      <c r="X25">
        <v>1907</v>
      </c>
      <c r="Y25">
        <v>1067.5547999999999</v>
      </c>
      <c r="Z25">
        <v>1929.5139999999999</v>
      </c>
      <c r="AA25">
        <v>1075</v>
      </c>
      <c r="AB25">
        <v>1075.8596</v>
      </c>
      <c r="AI25">
        <v>1158</v>
      </c>
      <c r="AJ25">
        <v>1096</v>
      </c>
      <c r="AK25">
        <v>707</v>
      </c>
      <c r="AL25">
        <v>1150.8413</v>
      </c>
      <c r="AM25">
        <v>1093.3485000000001</v>
      </c>
      <c r="AN25">
        <v>845.24480000000005</v>
      </c>
      <c r="AO25">
        <f t="shared" si="0"/>
        <v>1</v>
      </c>
      <c r="AU25" cm="1">
        <f t="array" ref="AU25">IF($AO25="","", $AL25 - INDEX($AS$2:$AS$11,$AO25))</f>
        <v>4.3437078947372356</v>
      </c>
      <c r="AV25" cm="1">
        <f t="array" ref="AV25">IF($AO25="","", $AM25 - INDEX($AT$2:$AT$11,$AO25))</f>
        <v>-2.5175973684210931</v>
      </c>
      <c r="AW25">
        <f t="shared" si="2"/>
        <v>-10.93570756498039</v>
      </c>
      <c r="BB25">
        <v>1155</v>
      </c>
      <c r="BC25">
        <v>1091</v>
      </c>
      <c r="BD25">
        <v>714</v>
      </c>
      <c r="BE25">
        <v>1149.4802999999999</v>
      </c>
      <c r="BF25">
        <v>1092.3539000000001</v>
      </c>
      <c r="BG25">
        <v>855.29960000000005</v>
      </c>
    </row>
    <row r="26" spans="1:59" x14ac:dyDescent="0.3">
      <c r="A26">
        <v>1109</v>
      </c>
      <c r="B26">
        <v>1197</v>
      </c>
      <c r="C26">
        <v>1110.1078</v>
      </c>
      <c r="D26">
        <v>1233.8306</v>
      </c>
      <c r="E26">
        <v>1082</v>
      </c>
      <c r="F26">
        <v>1081.8235999999999</v>
      </c>
      <c r="M26">
        <v>1134</v>
      </c>
      <c r="N26">
        <v>1091</v>
      </c>
      <c r="O26">
        <v>1384</v>
      </c>
      <c r="R26">
        <v>1182</v>
      </c>
      <c r="S26">
        <v>1075</v>
      </c>
      <c r="T26">
        <v>277</v>
      </c>
      <c r="W26">
        <v>1072</v>
      </c>
      <c r="X26">
        <v>1917</v>
      </c>
      <c r="Y26">
        <v>1070.3230000000001</v>
      </c>
      <c r="Z26">
        <v>1936.1373000000001</v>
      </c>
      <c r="AA26">
        <v>1076</v>
      </c>
      <c r="AB26">
        <v>1076.6342999999999</v>
      </c>
      <c r="AI26">
        <v>1150</v>
      </c>
      <c r="AJ26">
        <v>1091</v>
      </c>
      <c r="AK26">
        <v>786</v>
      </c>
      <c r="AL26">
        <v>1143.7333000000001</v>
      </c>
      <c r="AM26">
        <v>1092.9936</v>
      </c>
      <c r="AN26">
        <v>923.80529999999999</v>
      </c>
      <c r="AO26">
        <f t="shared" si="0"/>
        <v>1</v>
      </c>
      <c r="AU26" cm="1">
        <f t="array" ref="AU26">IF($AO26="","", $AL26 - INDEX($AS$2:$AS$11,$AO26))</f>
        <v>-2.7642921052627116</v>
      </c>
      <c r="AV26" cm="1">
        <f t="array" ref="AV26">IF($AO26="","", $AM26 - INDEX($AT$2:$AT$11,$AO26))</f>
        <v>-2.8724973684211363</v>
      </c>
      <c r="AW26">
        <f t="shared" si="2"/>
        <v>7.9404217979144622</v>
      </c>
      <c r="BB26">
        <v>1152</v>
      </c>
      <c r="BC26">
        <v>1092</v>
      </c>
      <c r="BD26">
        <v>801</v>
      </c>
      <c r="BE26">
        <v>1142.0507</v>
      </c>
      <c r="BF26">
        <v>1091.9132</v>
      </c>
      <c r="BG26">
        <v>936.12729999999999</v>
      </c>
    </row>
    <row r="27" spans="1:59" x14ac:dyDescent="0.3">
      <c r="A27">
        <v>1099</v>
      </c>
      <c r="B27">
        <v>1310</v>
      </c>
      <c r="C27">
        <v>1103.01</v>
      </c>
      <c r="D27">
        <v>1340.9090000000001</v>
      </c>
      <c r="E27">
        <v>1080</v>
      </c>
      <c r="F27">
        <v>1081.8543999999999</v>
      </c>
      <c r="M27">
        <v>1147</v>
      </c>
      <c r="N27">
        <v>1091</v>
      </c>
      <c r="O27">
        <v>1234</v>
      </c>
      <c r="R27">
        <v>1176</v>
      </c>
      <c r="S27">
        <v>1077</v>
      </c>
      <c r="T27" t="s">
        <v>18</v>
      </c>
      <c r="W27">
        <v>1071</v>
      </c>
      <c r="X27">
        <v>1909</v>
      </c>
      <c r="Y27">
        <v>1074.7082</v>
      </c>
      <c r="Z27">
        <v>1918.0773999999999</v>
      </c>
      <c r="AA27">
        <v>1076</v>
      </c>
      <c r="AB27">
        <v>1077.4075</v>
      </c>
      <c r="AI27">
        <v>1144</v>
      </c>
      <c r="AJ27">
        <v>1091</v>
      </c>
      <c r="AK27">
        <v>878</v>
      </c>
      <c r="AL27">
        <v>1136.7162000000001</v>
      </c>
      <c r="AM27">
        <v>1092.7197000000001</v>
      </c>
      <c r="AN27">
        <v>1006.4767000000001</v>
      </c>
      <c r="AO27">
        <f t="shared" si="0"/>
        <v>1</v>
      </c>
      <c r="AU27" cm="1">
        <f t="array" ref="AU27">IF($AO27="","", $AL27 - INDEX($AS$2:$AS$11,$AO27))</f>
        <v>-9.7813921052627393</v>
      </c>
      <c r="AV27" cm="1">
        <f t="array" ref="AV27">IF($AO27="","", $AM27 - INDEX($AT$2:$AT$11,$AO27))</f>
        <v>-3.1463973684210487</v>
      </c>
      <c r="AW27">
        <f t="shared" si="2"/>
        <v>30.776146379493103</v>
      </c>
      <c r="BB27">
        <v>1140</v>
      </c>
      <c r="BC27">
        <v>1090</v>
      </c>
      <c r="BD27">
        <v>893</v>
      </c>
      <c r="BE27">
        <v>1134.7642000000001</v>
      </c>
      <c r="BF27">
        <v>1091.5737999999999</v>
      </c>
      <c r="BG27">
        <v>1020.8741</v>
      </c>
    </row>
    <row r="28" spans="1:59" x14ac:dyDescent="0.3">
      <c r="A28">
        <v>1094</v>
      </c>
      <c r="B28">
        <v>1430</v>
      </c>
      <c r="C28">
        <v>1096.8543</v>
      </c>
      <c r="D28">
        <v>1440.4686999999999</v>
      </c>
      <c r="E28">
        <v>1079</v>
      </c>
      <c r="F28">
        <v>1081.9869000000001</v>
      </c>
      <c r="M28">
        <v>1158</v>
      </c>
      <c r="N28">
        <v>1091</v>
      </c>
      <c r="O28">
        <v>1100</v>
      </c>
      <c r="R28">
        <v>1163</v>
      </c>
      <c r="S28">
        <v>1074</v>
      </c>
      <c r="T28">
        <v>412</v>
      </c>
      <c r="W28">
        <v>1077</v>
      </c>
      <c r="X28">
        <v>1877</v>
      </c>
      <c r="Y28">
        <v>1080.5777</v>
      </c>
      <c r="Z28">
        <v>1875.9201</v>
      </c>
      <c r="AA28">
        <v>1079</v>
      </c>
      <c r="AB28">
        <v>1078.1563000000001</v>
      </c>
      <c r="AI28">
        <v>1134</v>
      </c>
      <c r="AJ28">
        <v>1091</v>
      </c>
      <c r="AK28">
        <v>978</v>
      </c>
      <c r="AL28">
        <v>1129.9676999999999</v>
      </c>
      <c r="AM28">
        <v>1092.5353</v>
      </c>
      <c r="AN28">
        <v>1091.2809</v>
      </c>
      <c r="AO28">
        <f t="shared" si="0"/>
        <v>1</v>
      </c>
      <c r="AU28" cm="1">
        <f t="array" ref="AU28">IF($AO28="","", $AL28 - INDEX($AS$2:$AS$11,$AO28))</f>
        <v>-16.529892105262888</v>
      </c>
      <c r="AV28" cm="1">
        <f t="array" ref="AV28">IF($AO28="","", $AM28 - INDEX($AT$2:$AT$11,$AO28))</f>
        <v>-3.3307973684211447</v>
      </c>
      <c r="AW28">
        <f t="shared" si="2"/>
        <v>55.057721124495082</v>
      </c>
      <c r="BB28">
        <v>1133</v>
      </c>
      <c r="BC28">
        <v>1091</v>
      </c>
      <c r="BD28">
        <v>994</v>
      </c>
      <c r="BE28">
        <v>1127.8051</v>
      </c>
      <c r="BF28">
        <v>1091.3456000000001</v>
      </c>
      <c r="BG28">
        <v>1107.5057999999999</v>
      </c>
    </row>
    <row r="29" spans="1:59" x14ac:dyDescent="0.3">
      <c r="A29">
        <v>1092</v>
      </c>
      <c r="B29">
        <v>1533</v>
      </c>
      <c r="C29">
        <v>1091.8076000000001</v>
      </c>
      <c r="D29">
        <v>1529.9218000000001</v>
      </c>
      <c r="E29">
        <v>1082</v>
      </c>
      <c r="F29">
        <v>1082.2197000000001</v>
      </c>
      <c r="M29">
        <v>1167</v>
      </c>
      <c r="N29">
        <v>1090</v>
      </c>
      <c r="O29">
        <v>903</v>
      </c>
      <c r="R29">
        <v>1149</v>
      </c>
      <c r="S29">
        <v>1075</v>
      </c>
      <c r="T29">
        <v>488</v>
      </c>
      <c r="W29">
        <v>1083</v>
      </c>
      <c r="X29">
        <v>1819</v>
      </c>
      <c r="Y29">
        <v>1087.7555</v>
      </c>
      <c r="Z29">
        <v>1810.9612</v>
      </c>
      <c r="AA29">
        <v>1078</v>
      </c>
      <c r="AB29">
        <v>1078.8587</v>
      </c>
      <c r="AI29">
        <v>1130</v>
      </c>
      <c r="AJ29">
        <v>1091</v>
      </c>
      <c r="AK29">
        <v>1081</v>
      </c>
      <c r="AL29">
        <v>1123.6592000000001</v>
      </c>
      <c r="AM29">
        <v>1092.4459999999999</v>
      </c>
      <c r="AN29">
        <v>1176.1524999999999</v>
      </c>
      <c r="AO29">
        <f t="shared" si="0"/>
        <v>1</v>
      </c>
      <c r="AU29" cm="1">
        <f t="array" ref="AU29">IF($AO29="","", $AL29 - INDEX($AS$2:$AS$11,$AO29))</f>
        <v>-22.838392105262756</v>
      </c>
      <c r="AV29" cm="1">
        <f t="array" ref="AV29">IF($AO29="","", $AM29 - INDEX($AT$2:$AT$11,$AO29))</f>
        <v>-3.4200973684212386</v>
      </c>
      <c r="AW29">
        <f t="shared" si="2"/>
        <v>78.109524738181548</v>
      </c>
      <c r="BB29">
        <v>1127</v>
      </c>
      <c r="BC29">
        <v>1092</v>
      </c>
      <c r="BD29">
        <v>1099</v>
      </c>
      <c r="BE29">
        <v>1121.3497</v>
      </c>
      <c r="BF29">
        <v>1091.2348999999999</v>
      </c>
      <c r="BG29">
        <v>1193.9055000000001</v>
      </c>
    </row>
    <row r="30" spans="1:59" x14ac:dyDescent="0.3">
      <c r="A30">
        <v>1085</v>
      </c>
      <c r="B30">
        <v>1629</v>
      </c>
      <c r="C30">
        <v>1088.0062</v>
      </c>
      <c r="D30">
        <v>1606.9411</v>
      </c>
      <c r="E30">
        <v>1081</v>
      </c>
      <c r="F30">
        <v>1082.5481</v>
      </c>
      <c r="M30" t="s">
        <v>1</v>
      </c>
      <c r="R30">
        <v>1144</v>
      </c>
      <c r="S30">
        <v>1073</v>
      </c>
      <c r="T30">
        <v>586</v>
      </c>
      <c r="W30">
        <v>1095</v>
      </c>
      <c r="X30">
        <v>1746</v>
      </c>
      <c r="Y30">
        <v>1096.027</v>
      </c>
      <c r="Z30">
        <v>1725.1657</v>
      </c>
      <c r="AA30">
        <v>1079</v>
      </c>
      <c r="AB30">
        <v>1079.4937</v>
      </c>
      <c r="AI30">
        <v>1118</v>
      </c>
      <c r="AJ30">
        <v>1092</v>
      </c>
      <c r="AK30">
        <v>1295</v>
      </c>
      <c r="AL30">
        <v>1117.952</v>
      </c>
      <c r="AM30">
        <v>1092.4548</v>
      </c>
      <c r="AN30">
        <v>1258.9867999999999</v>
      </c>
      <c r="AO30">
        <f t="shared" si="0"/>
        <v>1</v>
      </c>
      <c r="AU30" cm="1">
        <f t="array" ref="AU30">IF($AO30="","", $AL30 - INDEX($AS$2:$AS$11,$AO30))</f>
        <v>-28.545592105262813</v>
      </c>
      <c r="AV30" cm="1">
        <f t="array" ref="AV30">IF($AO30="","", $AM30 - INDEX($AT$2:$AT$11,$AO30))</f>
        <v>-3.4112973684211738</v>
      </c>
      <c r="AW30">
        <f t="shared" si="2"/>
        <v>97.377503228707269</v>
      </c>
      <c r="BB30">
        <v>1111</v>
      </c>
      <c r="BC30">
        <v>1091</v>
      </c>
      <c r="BD30">
        <v>1311</v>
      </c>
      <c r="BE30">
        <v>1115.5622000000001</v>
      </c>
      <c r="BF30">
        <v>1091.2446</v>
      </c>
      <c r="BG30">
        <v>1277.9235000000001</v>
      </c>
    </row>
    <row r="31" spans="1:59" x14ac:dyDescent="0.3">
      <c r="A31">
        <v>1082</v>
      </c>
      <c r="B31">
        <v>1704</v>
      </c>
      <c r="C31">
        <v>1085.5518999999999</v>
      </c>
      <c r="D31">
        <v>1669.5201999999999</v>
      </c>
      <c r="E31">
        <v>1082</v>
      </c>
      <c r="F31">
        <v>1082.9647</v>
      </c>
      <c r="M31">
        <v>1187</v>
      </c>
      <c r="N31">
        <v>1091</v>
      </c>
      <c r="O31">
        <v>605</v>
      </c>
      <c r="R31">
        <v>1136</v>
      </c>
      <c r="S31">
        <v>1073</v>
      </c>
      <c r="T31">
        <v>695</v>
      </c>
      <c r="W31">
        <v>1102</v>
      </c>
      <c r="X31">
        <v>1654</v>
      </c>
      <c r="Y31">
        <v>1105.146</v>
      </c>
      <c r="Z31">
        <v>1621.1088</v>
      </c>
      <c r="AA31">
        <v>1080</v>
      </c>
      <c r="AB31">
        <v>1080.0427</v>
      </c>
      <c r="AI31">
        <v>1108</v>
      </c>
      <c r="AJ31">
        <v>1092</v>
      </c>
      <c r="AK31">
        <v>1360</v>
      </c>
      <c r="AL31">
        <v>1112.9930999999999</v>
      </c>
      <c r="AM31">
        <v>1092.5614</v>
      </c>
      <c r="AN31">
        <v>1337.6912</v>
      </c>
      <c r="AO31">
        <f t="shared" si="0"/>
        <v>1</v>
      </c>
      <c r="AU31" cm="1">
        <f t="array" ref="AU31">IF($AO31="","", $AL31 - INDEX($AS$2:$AS$11,$AO31))</f>
        <v>-33.504492105262898</v>
      </c>
      <c r="AV31" cm="1">
        <f t="array" ref="AV31">IF($AO31="","", $AM31 - INDEX($AT$2:$AT$11,$AO31))</f>
        <v>-3.3046973684211025</v>
      </c>
      <c r="AW31">
        <f t="shared" si="2"/>
        <v>110.72220689054791</v>
      </c>
      <c r="BB31">
        <v>1107</v>
      </c>
      <c r="BC31">
        <v>1092</v>
      </c>
      <c r="BD31">
        <v>1380</v>
      </c>
      <c r="BE31">
        <v>1110.5906</v>
      </c>
      <c r="BF31">
        <v>1091.3742999999999</v>
      </c>
      <c r="BG31">
        <v>1357.4299000000001</v>
      </c>
    </row>
    <row r="32" spans="1:59" x14ac:dyDescent="0.3">
      <c r="A32">
        <v>1082</v>
      </c>
      <c r="B32">
        <v>1754</v>
      </c>
      <c r="C32">
        <v>1084.5093999999999</v>
      </c>
      <c r="D32">
        <v>1716.0272</v>
      </c>
      <c r="E32">
        <v>1083</v>
      </c>
      <c r="F32">
        <v>1083.4593</v>
      </c>
      <c r="M32">
        <v>1193</v>
      </c>
      <c r="N32">
        <v>1088</v>
      </c>
      <c r="O32">
        <v>458</v>
      </c>
      <c r="R32">
        <v>1129</v>
      </c>
      <c r="S32">
        <v>1073</v>
      </c>
      <c r="T32">
        <v>818</v>
      </c>
      <c r="W32">
        <v>1111</v>
      </c>
      <c r="X32">
        <v>1549</v>
      </c>
      <c r="Y32">
        <v>1114.8416</v>
      </c>
      <c r="Z32">
        <v>1501.8977</v>
      </c>
      <c r="AA32">
        <v>1079</v>
      </c>
      <c r="AB32">
        <v>1080.4894999999999</v>
      </c>
      <c r="AI32">
        <v>1104</v>
      </c>
      <c r="AJ32">
        <v>1092</v>
      </c>
      <c r="AK32">
        <v>1456</v>
      </c>
      <c r="AL32">
        <v>1108.9113</v>
      </c>
      <c r="AM32">
        <v>1092.7629999999999</v>
      </c>
      <c r="AN32">
        <v>1410.2387000000001</v>
      </c>
      <c r="AO32">
        <f t="shared" si="0"/>
        <v>1</v>
      </c>
      <c r="AU32" cm="1">
        <f t="array" ref="AU32">IF($AO32="","", $AL32 - INDEX($AS$2:$AS$11,$AO32))</f>
        <v>-37.586292105262828</v>
      </c>
      <c r="AV32" cm="1">
        <f t="array" ref="AV32">IF($AO32="","", $AM32 - INDEX($AT$2:$AT$11,$AO32))</f>
        <v>-3.1030973684212313</v>
      </c>
      <c r="AW32">
        <f t="shared" si="2"/>
        <v>116.63392412055278</v>
      </c>
      <c r="BB32">
        <v>1100</v>
      </c>
      <c r="BC32">
        <v>1091</v>
      </c>
      <c r="BD32">
        <v>1473</v>
      </c>
      <c r="BE32">
        <v>1106.5626</v>
      </c>
      <c r="BF32">
        <v>1091.6198999999999</v>
      </c>
      <c r="BG32">
        <v>1430.3688</v>
      </c>
    </row>
    <row r="33" spans="1:59" x14ac:dyDescent="0.3">
      <c r="A33">
        <v>1082</v>
      </c>
      <c r="B33">
        <v>1778</v>
      </c>
      <c r="C33">
        <v>1084.9045000000001</v>
      </c>
      <c r="D33">
        <v>1745.2488000000001</v>
      </c>
      <c r="E33">
        <v>1082</v>
      </c>
      <c r="F33">
        <v>1084.019</v>
      </c>
      <c r="M33">
        <v>1199</v>
      </c>
      <c r="N33">
        <v>1089</v>
      </c>
      <c r="O33">
        <v>331</v>
      </c>
      <c r="R33">
        <v>1117</v>
      </c>
      <c r="S33">
        <v>1072</v>
      </c>
      <c r="T33">
        <v>944</v>
      </c>
      <c r="W33">
        <v>1121</v>
      </c>
      <c r="X33">
        <v>1429</v>
      </c>
      <c r="Y33">
        <v>1124.8269</v>
      </c>
      <c r="Z33">
        <v>1371.078</v>
      </c>
      <c r="AA33">
        <v>1080</v>
      </c>
      <c r="AB33">
        <v>1080.8208</v>
      </c>
      <c r="AI33">
        <v>1104</v>
      </c>
      <c r="AJ33">
        <v>1091</v>
      </c>
      <c r="AK33">
        <v>1544</v>
      </c>
      <c r="AL33">
        <v>1105.8135</v>
      </c>
      <c r="AM33">
        <v>1093.0537999999999</v>
      </c>
      <c r="AN33">
        <v>1474.7224000000001</v>
      </c>
      <c r="AO33">
        <f t="shared" si="0"/>
        <v>1</v>
      </c>
      <c r="AU33" cm="1">
        <f t="array" ref="AU33">IF($AO33="","", $AL33 - INDEX($AS$2:$AS$11,$AO33))</f>
        <v>-40.684092105262835</v>
      </c>
      <c r="AV33" cm="1">
        <f t="array" ref="AV33">IF($AO33="","", $AM33 - INDEX($AT$2:$AT$11,$AO33))</f>
        <v>-2.8122973684212411</v>
      </c>
      <c r="AW33">
        <f t="shared" si="2"/>
        <v>114.41576516423807</v>
      </c>
      <c r="BB33">
        <v>1100</v>
      </c>
      <c r="BC33">
        <v>1092</v>
      </c>
      <c r="BD33">
        <v>1559</v>
      </c>
      <c r="BE33">
        <v>1103.5824</v>
      </c>
      <c r="BF33">
        <v>1091.9736</v>
      </c>
      <c r="BG33">
        <v>1494.8137999999999</v>
      </c>
    </row>
    <row r="34" spans="1:59" x14ac:dyDescent="0.3">
      <c r="A34">
        <v>1084</v>
      </c>
      <c r="B34">
        <v>1783</v>
      </c>
      <c r="C34">
        <v>1086.7231999999999</v>
      </c>
      <c r="D34">
        <v>1756.4239</v>
      </c>
      <c r="E34">
        <v>1086</v>
      </c>
      <c r="F34">
        <v>1084.6292000000001</v>
      </c>
      <c r="M34">
        <v>1205</v>
      </c>
      <c r="N34">
        <v>1088</v>
      </c>
      <c r="O34">
        <v>228</v>
      </c>
      <c r="R34">
        <v>1099</v>
      </c>
      <c r="S34">
        <v>1072</v>
      </c>
      <c r="T34">
        <v>1195</v>
      </c>
      <c r="W34">
        <v>1129</v>
      </c>
      <c r="X34">
        <v>1304</v>
      </c>
      <c r="Y34">
        <v>1134.807</v>
      </c>
      <c r="Z34">
        <v>1232.5272</v>
      </c>
      <c r="AA34">
        <v>1079</v>
      </c>
      <c r="AB34">
        <v>1081.0268000000001</v>
      </c>
      <c r="AI34">
        <v>1099</v>
      </c>
      <c r="AJ34">
        <v>1094</v>
      </c>
      <c r="AK34">
        <v>1608</v>
      </c>
      <c r="AL34">
        <v>1103.7823000000001</v>
      </c>
      <c r="AM34">
        <v>1093.425</v>
      </c>
      <c r="AN34">
        <v>1529.4073000000001</v>
      </c>
      <c r="AO34">
        <f t="shared" si="0"/>
        <v>1</v>
      </c>
      <c r="AU34" cm="1">
        <f t="array" ref="AU34">IF($AO34="","", $AL34 - INDEX($AS$2:$AS$11,$AO34))</f>
        <v>-42.715292105262733</v>
      </c>
      <c r="AV34" cm="1">
        <f t="array" ref="AV34">IF($AO34="","", $AM34 - INDEX($AT$2:$AT$11,$AO34))</f>
        <v>-2.4410973684211967</v>
      </c>
      <c r="AW34">
        <f t="shared" si="2"/>
        <v>104.27218714949957</v>
      </c>
      <c r="BB34">
        <v>1098</v>
      </c>
      <c r="BC34">
        <v>1092</v>
      </c>
      <c r="BD34">
        <v>1624</v>
      </c>
      <c r="BE34">
        <v>1101.7277999999999</v>
      </c>
      <c r="BF34">
        <v>1092.425</v>
      </c>
      <c r="BG34">
        <v>1549.021</v>
      </c>
    </row>
    <row r="35" spans="1:59" x14ac:dyDescent="0.3">
      <c r="A35">
        <v>1088</v>
      </c>
      <c r="B35">
        <v>1775</v>
      </c>
      <c r="C35">
        <v>1089.9122</v>
      </c>
      <c r="D35">
        <v>1749.2668000000001</v>
      </c>
      <c r="E35">
        <v>1085</v>
      </c>
      <c r="F35">
        <v>1085.2729999999999</v>
      </c>
      <c r="M35">
        <v>1210</v>
      </c>
      <c r="N35">
        <v>1087</v>
      </c>
      <c r="O35">
        <v>157</v>
      </c>
      <c r="R35">
        <v>1091</v>
      </c>
      <c r="S35">
        <v>1072</v>
      </c>
      <c r="T35">
        <v>1319</v>
      </c>
      <c r="W35">
        <v>1139</v>
      </c>
      <c r="X35">
        <v>1150</v>
      </c>
      <c r="Y35">
        <v>1144.4884</v>
      </c>
      <c r="Z35">
        <v>1090.3384000000001</v>
      </c>
      <c r="AA35">
        <v>1080</v>
      </c>
      <c r="AB35">
        <v>1081.1015</v>
      </c>
      <c r="AI35">
        <v>1098</v>
      </c>
      <c r="AJ35">
        <v>1092</v>
      </c>
      <c r="AK35">
        <v>1663</v>
      </c>
      <c r="AL35">
        <v>1102.8729000000001</v>
      </c>
      <c r="AM35">
        <v>1093.8657000000001</v>
      </c>
      <c r="AN35">
        <v>1572.7817</v>
      </c>
      <c r="AO35">
        <f t="shared" si="0"/>
        <v>1</v>
      </c>
      <c r="AU35" cm="1">
        <f t="array" ref="AU35">IF($AO35="","", $AL35 - INDEX($AS$2:$AS$11,$AO35))</f>
        <v>-43.624692105262739</v>
      </c>
      <c r="AV35" cm="1">
        <f t="array" ref="AV35">IF($AO35="","", $AM35 - INDEX($AT$2:$AT$11,$AO35))</f>
        <v>-2.0003973684210905</v>
      </c>
      <c r="AW35">
        <f t="shared" si="2"/>
        <v>87.266719285547907</v>
      </c>
      <c r="BB35">
        <v>1099</v>
      </c>
      <c r="BC35">
        <v>1093</v>
      </c>
      <c r="BD35">
        <v>1681</v>
      </c>
      <c r="BE35">
        <v>1101.0482</v>
      </c>
      <c r="BF35">
        <v>1092.9603</v>
      </c>
      <c r="BG35">
        <v>1591.4801</v>
      </c>
    </row>
    <row r="36" spans="1:59" x14ac:dyDescent="0.3">
      <c r="A36">
        <v>1096</v>
      </c>
      <c r="B36">
        <v>1752</v>
      </c>
      <c r="C36">
        <v>1094.3804</v>
      </c>
      <c r="D36">
        <v>1723.9772</v>
      </c>
      <c r="E36">
        <v>1086</v>
      </c>
      <c r="F36">
        <v>1085.9326000000001</v>
      </c>
      <c r="M36">
        <v>1206</v>
      </c>
      <c r="N36">
        <v>1086</v>
      </c>
      <c r="O36">
        <v>111</v>
      </c>
      <c r="R36">
        <v>1083</v>
      </c>
      <c r="S36">
        <v>1073</v>
      </c>
      <c r="T36" t="s">
        <v>19</v>
      </c>
      <c r="W36">
        <v>1149</v>
      </c>
      <c r="X36">
        <v>1011</v>
      </c>
      <c r="Y36">
        <v>1153.5871</v>
      </c>
      <c r="Z36">
        <v>948.69780000000003</v>
      </c>
      <c r="AA36">
        <v>1081</v>
      </c>
      <c r="AB36">
        <v>1081.0426</v>
      </c>
      <c r="AI36">
        <v>1099</v>
      </c>
      <c r="AJ36">
        <v>1094</v>
      </c>
      <c r="AK36">
        <v>1702</v>
      </c>
      <c r="AL36">
        <v>1103.1120000000001</v>
      </c>
      <c r="AM36">
        <v>1094.3626999999999</v>
      </c>
      <c r="AN36">
        <v>1603.6022</v>
      </c>
      <c r="AO36">
        <f t="shared" si="0"/>
        <v>1</v>
      </c>
      <c r="AU36" cm="1">
        <f t="array" ref="AU36">IF($AO36="","", $AL36 - INDEX($AS$2:$AS$11,$AO36))</f>
        <v>-43.385592105262731</v>
      </c>
      <c r="AV36" cm="1">
        <f t="array" ref="AV36">IF($AO36="","", $AM36 - INDEX($AT$2:$AT$11,$AO36))</f>
        <v>-1.5033973684212469</v>
      </c>
      <c r="AW36">
        <f t="shared" si="2"/>
        <v>65.225784998449612</v>
      </c>
      <c r="BB36">
        <v>1096</v>
      </c>
      <c r="BC36">
        <v>1092</v>
      </c>
      <c r="BD36">
        <v>1715</v>
      </c>
      <c r="BE36">
        <v>1101.5624</v>
      </c>
      <c r="BF36">
        <v>1093.5635</v>
      </c>
      <c r="BG36">
        <v>1620.9598000000001</v>
      </c>
    </row>
    <row r="37" spans="1:59" x14ac:dyDescent="0.3">
      <c r="A37">
        <v>1098</v>
      </c>
      <c r="B37">
        <v>1714</v>
      </c>
      <c r="C37">
        <v>1100.0011999999999</v>
      </c>
      <c r="D37">
        <v>1681.2381</v>
      </c>
      <c r="E37">
        <v>1086</v>
      </c>
      <c r="F37">
        <v>1086.5893000000001</v>
      </c>
      <c r="M37">
        <v>1205</v>
      </c>
      <c r="N37">
        <v>1086</v>
      </c>
      <c r="O37">
        <v>94</v>
      </c>
      <c r="R37">
        <v>1069</v>
      </c>
      <c r="S37">
        <v>1072</v>
      </c>
      <c r="T37">
        <v>1671</v>
      </c>
      <c r="W37">
        <v>1162</v>
      </c>
      <c r="X37">
        <v>874</v>
      </c>
      <c r="Y37">
        <v>1161.8377</v>
      </c>
      <c r="Z37">
        <v>811.75990000000002</v>
      </c>
      <c r="AA37">
        <v>1080</v>
      </c>
      <c r="AB37">
        <v>1080.8520000000001</v>
      </c>
      <c r="AI37">
        <v>1098</v>
      </c>
      <c r="AJ37">
        <v>1093</v>
      </c>
      <c r="AK37">
        <v>1717</v>
      </c>
      <c r="AL37">
        <v>1104.4958999999999</v>
      </c>
      <c r="AM37">
        <v>1094.9011</v>
      </c>
      <c r="AN37">
        <v>1620.934</v>
      </c>
      <c r="AO37">
        <f t="shared" si="0"/>
        <v>1</v>
      </c>
      <c r="AU37" cm="1">
        <f t="array" ref="AU37">IF($AO37="","", $AL37 - INDEX($AS$2:$AS$11,$AO37))</f>
        <v>-42.001692105262919</v>
      </c>
      <c r="AV37" cm="1">
        <f t="array" ref="AV37">IF($AO37="","", $AM37 - INDEX($AT$2:$AT$11,$AO37))</f>
        <v>-0.96499736842110906</v>
      </c>
      <c r="AW37">
        <f t="shared" si="2"/>
        <v>40.531522350812388</v>
      </c>
      <c r="BB37">
        <v>1099</v>
      </c>
      <c r="BC37">
        <v>1095</v>
      </c>
      <c r="BD37">
        <v>1729</v>
      </c>
      <c r="BE37">
        <v>1103.2587000000001</v>
      </c>
      <c r="BF37">
        <v>1094.2166999999999</v>
      </c>
      <c r="BG37">
        <v>1636.5483999999999</v>
      </c>
    </row>
    <row r="38" spans="1:59" x14ac:dyDescent="0.3">
      <c r="A38">
        <v>1106</v>
      </c>
      <c r="B38">
        <v>1662</v>
      </c>
      <c r="C38">
        <v>1106.616</v>
      </c>
      <c r="D38">
        <v>1622.2012</v>
      </c>
      <c r="E38">
        <v>1087</v>
      </c>
      <c r="F38">
        <v>1087.2239999999999</v>
      </c>
      <c r="M38">
        <v>1203</v>
      </c>
      <c r="N38">
        <v>1083</v>
      </c>
      <c r="O38">
        <v>97</v>
      </c>
      <c r="R38">
        <v>1067</v>
      </c>
      <c r="S38">
        <v>1075</v>
      </c>
      <c r="T38">
        <v>1768</v>
      </c>
      <c r="W38">
        <v>1165</v>
      </c>
      <c r="X38">
        <v>726</v>
      </c>
      <c r="Y38">
        <v>1169.0009</v>
      </c>
      <c r="Z38">
        <v>683.52390000000003</v>
      </c>
      <c r="AA38">
        <v>1079</v>
      </c>
      <c r="AB38">
        <v>1080.5352</v>
      </c>
      <c r="AI38">
        <v>1101</v>
      </c>
      <c r="AJ38">
        <v>1094</v>
      </c>
      <c r="AK38">
        <v>1709</v>
      </c>
      <c r="AL38">
        <v>1106.9912999999999</v>
      </c>
      <c r="AM38">
        <v>1095.4647</v>
      </c>
      <c r="AN38">
        <v>1624.1837</v>
      </c>
      <c r="AO38">
        <f t="shared" si="0"/>
        <v>1</v>
      </c>
      <c r="AU38" cm="1">
        <f t="array" ref="AU38">IF($AO38="","", $AL38 - INDEX($AS$2:$AS$11,$AO38))</f>
        <v>-39.506292105262901</v>
      </c>
      <c r="AV38" cm="1">
        <f t="array" ref="AV38">IF($AO38="","", $AM38 - INDEX($AT$2:$AT$11,$AO38))</f>
        <v>-0.40139736842115781</v>
      </c>
      <c r="AW38">
        <f t="shared" si="2"/>
        <v>15.857721687130091</v>
      </c>
      <c r="BB38">
        <v>1103</v>
      </c>
      <c r="BC38">
        <v>1095</v>
      </c>
      <c r="BD38">
        <v>1719</v>
      </c>
      <c r="BE38">
        <v>1106.0940000000001</v>
      </c>
      <c r="BF38">
        <v>1094.9004</v>
      </c>
      <c r="BG38">
        <v>1637.6854000000001</v>
      </c>
    </row>
    <row r="39" spans="1:59" x14ac:dyDescent="0.3">
      <c r="A39">
        <v>1115</v>
      </c>
      <c r="B39">
        <v>1595</v>
      </c>
      <c r="C39">
        <v>1114.0387000000001</v>
      </c>
      <c r="D39">
        <v>1548.4589000000001</v>
      </c>
      <c r="E39">
        <v>1087</v>
      </c>
      <c r="F39">
        <v>1087.8181</v>
      </c>
      <c r="M39">
        <v>1195</v>
      </c>
      <c r="N39">
        <v>1083</v>
      </c>
      <c r="O39">
        <v>128</v>
      </c>
      <c r="R39">
        <v>1067</v>
      </c>
      <c r="S39">
        <v>1075</v>
      </c>
      <c r="T39">
        <v>1832</v>
      </c>
      <c r="W39">
        <v>1173</v>
      </c>
      <c r="X39">
        <v>602</v>
      </c>
      <c r="Y39">
        <v>1174.8705</v>
      </c>
      <c r="Z39">
        <v>567.71489999999994</v>
      </c>
      <c r="AA39">
        <v>1080</v>
      </c>
      <c r="AB39">
        <v>1080.1014</v>
      </c>
      <c r="AI39">
        <v>1105</v>
      </c>
      <c r="AJ39">
        <v>1096</v>
      </c>
      <c r="AK39">
        <v>1683</v>
      </c>
      <c r="AL39">
        <v>1110.5346999999999</v>
      </c>
      <c r="AM39">
        <v>1096.0364</v>
      </c>
      <c r="AN39">
        <v>1613.1232</v>
      </c>
      <c r="AO39">
        <f t="shared" si="0"/>
        <v>1</v>
      </c>
      <c r="AU39" cm="1">
        <f t="array" ref="AU39">IF($AO39="","", $AL39 - INDEX($AS$2:$AS$11,$AO39))</f>
        <v>-35.962892105262881</v>
      </c>
      <c r="AV39" cm="1">
        <f t="array" ref="AV39">IF($AO39="","", $AM39 - INDEX($AT$2:$AT$11,$AO39))</f>
        <v>0.17030263157880654</v>
      </c>
      <c r="AW39">
        <f t="shared" si="2"/>
        <v>-6.1245751647109552</v>
      </c>
      <c r="BB39">
        <v>1107</v>
      </c>
      <c r="BC39">
        <v>1095</v>
      </c>
      <c r="BD39">
        <v>1697</v>
      </c>
      <c r="BE39">
        <v>1109.9953</v>
      </c>
      <c r="BF39">
        <v>1095.5944</v>
      </c>
      <c r="BG39">
        <v>1624.1858999999999</v>
      </c>
    </row>
    <row r="40" spans="1:59" x14ac:dyDescent="0.3">
      <c r="A40">
        <v>1119</v>
      </c>
      <c r="B40">
        <v>1503</v>
      </c>
      <c r="C40">
        <v>1122.0607</v>
      </c>
      <c r="D40">
        <v>1462.0051000000001</v>
      </c>
      <c r="E40">
        <v>1086</v>
      </c>
      <c r="F40">
        <v>1088.3539000000001</v>
      </c>
      <c r="M40" t="s">
        <v>2</v>
      </c>
      <c r="R40" t="s">
        <v>20</v>
      </c>
      <c r="W40">
        <v>1179</v>
      </c>
      <c r="X40">
        <v>492</v>
      </c>
      <c r="Y40">
        <v>1179.2797</v>
      </c>
      <c r="Z40">
        <v>467.67419999999998</v>
      </c>
      <c r="AA40">
        <v>1080</v>
      </c>
      <c r="AB40">
        <v>1079.5635</v>
      </c>
      <c r="AI40">
        <v>1107</v>
      </c>
      <c r="AJ40">
        <v>1096</v>
      </c>
      <c r="AK40">
        <v>1640</v>
      </c>
      <c r="AL40">
        <v>1115.0346999999999</v>
      </c>
      <c r="AM40">
        <v>1096.5989</v>
      </c>
      <c r="AN40">
        <v>1587.9045000000001</v>
      </c>
      <c r="AO40">
        <f t="shared" si="0"/>
        <v>2</v>
      </c>
      <c r="AU40" cm="1">
        <f t="array" ref="AU40">IF($AO40="","", $AL40 - INDEX($AS$2:$AS$11,$AO40))</f>
        <v>-29.722294736841832</v>
      </c>
      <c r="AV40" cm="1">
        <f t="array" ref="AV40">IF($AO40="","", $AM40 - INDEX($AT$2:$AT$11,$AO40))</f>
        <v>0.94830263157905392</v>
      </c>
      <c r="AW40">
        <f t="shared" si="2"/>
        <v>-28.185730315515372</v>
      </c>
      <c r="BB40">
        <v>1111</v>
      </c>
      <c r="BC40">
        <v>1097</v>
      </c>
      <c r="BD40">
        <v>1660</v>
      </c>
      <c r="BE40">
        <v>1114.8611000000001</v>
      </c>
      <c r="BF40">
        <v>1096.2782999999999</v>
      </c>
      <c r="BG40">
        <v>1596.2532000000001</v>
      </c>
    </row>
    <row r="41" spans="1:59" x14ac:dyDescent="0.3">
      <c r="A41">
        <v>1129</v>
      </c>
      <c r="B41">
        <v>1407</v>
      </c>
      <c r="C41">
        <v>1130.4567</v>
      </c>
      <c r="D41">
        <v>1365.1840999999999</v>
      </c>
      <c r="E41">
        <v>1088</v>
      </c>
      <c r="F41">
        <v>1088.8153</v>
      </c>
      <c r="M41">
        <v>1182</v>
      </c>
      <c r="N41">
        <v>1082</v>
      </c>
      <c r="O41">
        <v>258</v>
      </c>
      <c r="R41">
        <v>1070</v>
      </c>
      <c r="S41">
        <v>1076</v>
      </c>
      <c r="T41">
        <v>1875</v>
      </c>
      <c r="W41">
        <v>1183</v>
      </c>
      <c r="X41">
        <v>403</v>
      </c>
      <c r="Y41">
        <v>1182.1059</v>
      </c>
      <c r="Z41">
        <v>386.26139999999998</v>
      </c>
      <c r="AA41">
        <v>1081</v>
      </c>
      <c r="AB41">
        <v>1078.9372000000001</v>
      </c>
      <c r="AI41">
        <v>1115</v>
      </c>
      <c r="AJ41">
        <v>1097</v>
      </c>
      <c r="AK41">
        <v>1594</v>
      </c>
      <c r="AL41">
        <v>1120.3733</v>
      </c>
      <c r="AM41">
        <v>1097.135</v>
      </c>
      <c r="AN41">
        <v>1549.0640000000001</v>
      </c>
      <c r="AO41">
        <f t="shared" si="0"/>
        <v>2</v>
      </c>
      <c r="AU41" cm="1">
        <f t="array" ref="AU41">IF($AO41="","", $AL41 - INDEX($AS$2:$AS$11,$AO41))</f>
        <v>-24.38369473684179</v>
      </c>
      <c r="AV41" cm="1">
        <f t="array" ref="AV41">IF($AO41="","", $AM41 - INDEX($AT$2:$AT$11,$AO41))</f>
        <v>1.484402631579087</v>
      </c>
      <c r="AW41">
        <f t="shared" si="2"/>
        <v>-36.195220634989084</v>
      </c>
      <c r="BB41">
        <v>1117</v>
      </c>
      <c r="BC41">
        <v>1096</v>
      </c>
      <c r="BD41">
        <v>1607</v>
      </c>
      <c r="BE41">
        <v>1120.5635</v>
      </c>
      <c r="BF41">
        <v>1096.9317000000001</v>
      </c>
      <c r="BG41">
        <v>1554.4829999999999</v>
      </c>
    </row>
    <row r="42" spans="1:59" x14ac:dyDescent="0.3">
      <c r="A42">
        <v>1138</v>
      </c>
      <c r="B42">
        <v>1301</v>
      </c>
      <c r="C42">
        <v>1138.991</v>
      </c>
      <c r="D42">
        <v>1260.6303</v>
      </c>
      <c r="E42">
        <v>1090</v>
      </c>
      <c r="F42">
        <v>1089.1878999999999</v>
      </c>
      <c r="M42">
        <v>1168</v>
      </c>
      <c r="N42">
        <v>1082</v>
      </c>
      <c r="O42">
        <v>358</v>
      </c>
      <c r="R42">
        <v>1073</v>
      </c>
      <c r="S42">
        <v>1077</v>
      </c>
      <c r="T42">
        <v>1863</v>
      </c>
      <c r="W42">
        <v>1183</v>
      </c>
      <c r="X42">
        <v>331</v>
      </c>
      <c r="Y42">
        <v>1183.2737</v>
      </c>
      <c r="Z42">
        <v>325.77109999999999</v>
      </c>
      <c r="AA42">
        <v>1078</v>
      </c>
      <c r="AB42">
        <v>1078.2408</v>
      </c>
      <c r="AI42">
        <v>1122</v>
      </c>
      <c r="AJ42">
        <v>1098</v>
      </c>
      <c r="AK42">
        <v>1535</v>
      </c>
      <c r="AL42">
        <v>1126.4093</v>
      </c>
      <c r="AM42">
        <v>1097.6283000000001</v>
      </c>
      <c r="AN42">
        <v>1497.5155999999999</v>
      </c>
      <c r="AO42">
        <f t="shared" si="0"/>
        <v>2</v>
      </c>
      <c r="AU42" cm="1">
        <f t="array" ref="AU42">IF($AO42="","", $AL42 - INDEX($AS$2:$AS$11,$AO42))</f>
        <v>-18.347694736841731</v>
      </c>
      <c r="AV42" cm="1">
        <f t="array" ref="AV42">IF($AO42="","", $AM42 - INDEX($AT$2:$AT$11,$AO42))</f>
        <v>1.9777026315791773</v>
      </c>
      <c r="AW42">
        <f t="shared" si="2"/>
        <v>-36.286284164463311</v>
      </c>
      <c r="BB42">
        <v>1119</v>
      </c>
      <c r="BC42">
        <v>1098</v>
      </c>
      <c r="BD42">
        <v>1547</v>
      </c>
      <c r="BE42">
        <v>1126.9518</v>
      </c>
      <c r="BF42">
        <v>1097.5358000000001</v>
      </c>
      <c r="BG42">
        <v>1499.8545999999999</v>
      </c>
    </row>
    <row r="43" spans="1:59" x14ac:dyDescent="0.3">
      <c r="A43">
        <v>1146</v>
      </c>
      <c r="B43">
        <v>1194</v>
      </c>
      <c r="C43">
        <v>1147.4237000000001</v>
      </c>
      <c r="D43">
        <v>1151.1985999999999</v>
      </c>
      <c r="E43">
        <v>1088</v>
      </c>
      <c r="F43">
        <v>1089.46</v>
      </c>
      <c r="M43">
        <v>1160</v>
      </c>
      <c r="N43">
        <v>1079</v>
      </c>
      <c r="O43">
        <v>481</v>
      </c>
      <c r="R43">
        <v>1078</v>
      </c>
      <c r="S43">
        <v>1078</v>
      </c>
      <c r="T43">
        <v>1836</v>
      </c>
      <c r="W43">
        <v>1183</v>
      </c>
      <c r="X43">
        <v>278</v>
      </c>
      <c r="Y43">
        <v>1182.7575999999999</v>
      </c>
      <c r="Z43">
        <v>287.86720000000003</v>
      </c>
      <c r="AA43">
        <v>1077</v>
      </c>
      <c r="AB43">
        <v>1077.4946</v>
      </c>
      <c r="AI43">
        <v>1132</v>
      </c>
      <c r="AJ43">
        <v>1098</v>
      </c>
      <c r="AK43">
        <v>1470</v>
      </c>
      <c r="AL43">
        <v>1132.9818</v>
      </c>
      <c r="AM43">
        <v>1098.0636999999999</v>
      </c>
      <c r="AN43">
        <v>1434.5336</v>
      </c>
      <c r="AO43">
        <f t="shared" si="0"/>
        <v>2</v>
      </c>
      <c r="AU43" cm="1">
        <f t="array" ref="AU43">IF($AO43="","", $AL43 - INDEX($AS$2:$AS$11,$AO43))</f>
        <v>-11.77519473684174</v>
      </c>
      <c r="AV43" cm="1">
        <f t="array" ref="AV43">IF($AO43="","", $AM43 - INDEX($AT$2:$AT$11,$AO43))</f>
        <v>2.4131026315790223</v>
      </c>
      <c r="AW43">
        <f t="shared" si="2"/>
        <v>-28.414753406828257</v>
      </c>
      <c r="BB43">
        <v>1130</v>
      </c>
      <c r="BC43">
        <v>1095</v>
      </c>
      <c r="BD43">
        <v>1472</v>
      </c>
      <c r="BE43">
        <v>1133.8558</v>
      </c>
      <c r="BF43">
        <v>1098.0727999999999</v>
      </c>
      <c r="BG43">
        <v>1433.7126000000001</v>
      </c>
    </row>
    <row r="44" spans="1:59" x14ac:dyDescent="0.3">
      <c r="A44">
        <v>1154</v>
      </c>
      <c r="B44">
        <v>1064</v>
      </c>
      <c r="C44">
        <v>1155.5181</v>
      </c>
      <c r="D44">
        <v>1039.8887</v>
      </c>
      <c r="E44">
        <v>1090</v>
      </c>
      <c r="F44">
        <v>1089.6224999999999</v>
      </c>
      <c r="M44">
        <v>1147</v>
      </c>
      <c r="N44">
        <v>1080</v>
      </c>
      <c r="O44">
        <v>619</v>
      </c>
      <c r="R44">
        <v>1081</v>
      </c>
      <c r="S44">
        <v>1078</v>
      </c>
      <c r="T44">
        <v>1789</v>
      </c>
      <c r="W44">
        <v>1180</v>
      </c>
      <c r="X44">
        <v>241</v>
      </c>
      <c r="Y44">
        <v>1180.5822000000001</v>
      </c>
      <c r="Z44">
        <v>273.53660000000002</v>
      </c>
      <c r="AA44">
        <v>1078</v>
      </c>
      <c r="AB44">
        <v>1076.7203</v>
      </c>
      <c r="AI44">
        <v>1136</v>
      </c>
      <c r="AJ44">
        <v>1097</v>
      </c>
      <c r="AK44">
        <v>1386</v>
      </c>
      <c r="AL44">
        <v>1139.9137000000001</v>
      </c>
      <c r="AM44">
        <v>1098.4277</v>
      </c>
      <c r="AN44">
        <v>1361.7243000000001</v>
      </c>
      <c r="AO44">
        <f t="shared" si="0"/>
        <v>2</v>
      </c>
      <c r="AU44" cm="1">
        <f t="array" ref="AU44">IF($AO44="","", $AL44 - INDEX($AS$2:$AS$11,$AO44))</f>
        <v>-4.843294736841699</v>
      </c>
      <c r="AV44" cm="1">
        <f t="array" ref="AV44">IF($AO44="","", $AM44 - INDEX($AT$2:$AT$11,$AO44))</f>
        <v>2.777102631579055</v>
      </c>
      <c r="AW44">
        <f t="shared" si="2"/>
        <v>-13.450326559196069</v>
      </c>
      <c r="BB44">
        <v>1139</v>
      </c>
      <c r="BC44">
        <v>1097</v>
      </c>
      <c r="BD44">
        <v>1385</v>
      </c>
      <c r="BE44">
        <v>1141.0907</v>
      </c>
      <c r="BF44">
        <v>1098.5273</v>
      </c>
      <c r="BG44">
        <v>1357.7365</v>
      </c>
    </row>
    <row r="45" spans="1:59" x14ac:dyDescent="0.3">
      <c r="A45">
        <v>1163</v>
      </c>
      <c r="B45">
        <v>971</v>
      </c>
      <c r="C45">
        <v>1163.0463999999999</v>
      </c>
      <c r="D45">
        <v>929.7645</v>
      </c>
      <c r="E45">
        <v>1091</v>
      </c>
      <c r="F45">
        <v>1089.6696999999999</v>
      </c>
      <c r="M45">
        <v>1139</v>
      </c>
      <c r="N45">
        <v>1079</v>
      </c>
      <c r="O45">
        <v>766</v>
      </c>
      <c r="R45">
        <v>1090</v>
      </c>
      <c r="S45">
        <v>1080</v>
      </c>
      <c r="T45" t="s">
        <v>21</v>
      </c>
      <c r="W45">
        <v>1180</v>
      </c>
      <c r="X45">
        <v>231</v>
      </c>
      <c r="Y45">
        <v>1176.8210999999999</v>
      </c>
      <c r="Z45">
        <v>283.06310000000002</v>
      </c>
      <c r="AA45">
        <v>1075</v>
      </c>
      <c r="AB45">
        <v>1075.9404</v>
      </c>
      <c r="AI45">
        <v>1146</v>
      </c>
      <c r="AJ45">
        <v>1098</v>
      </c>
      <c r="AK45">
        <v>1295</v>
      </c>
      <c r="AL45">
        <v>1147.0174</v>
      </c>
      <c r="AM45">
        <v>1098.7090000000001</v>
      </c>
      <c r="AN45">
        <v>1280.9875</v>
      </c>
      <c r="AO45">
        <f t="shared" si="0"/>
        <v>2</v>
      </c>
      <c r="AU45" cm="1">
        <f t="array" ref="AU45">IF($AO45="","", $AL45 - INDEX($AS$2:$AS$11,$AO45))</f>
        <v>2.2604052631581908</v>
      </c>
      <c r="AV45" cm="1">
        <f t="array" ref="AV45">IF($AO45="","", $AM45 - INDEX($AT$2:$AT$11,$AO45))</f>
        <v>3.0584026315791562</v>
      </c>
      <c r="AW45">
        <f t="shared" si="2"/>
        <v>6.9132294052783854</v>
      </c>
      <c r="BB45">
        <v>1150</v>
      </c>
      <c r="BC45">
        <v>1098</v>
      </c>
      <c r="BD45">
        <v>1292</v>
      </c>
      <c r="BE45">
        <v>1148.4612999999999</v>
      </c>
      <c r="BF45">
        <v>1098.8861999999999</v>
      </c>
      <c r="BG45">
        <v>1273.9005999999999</v>
      </c>
    </row>
    <row r="46" spans="1:59" x14ac:dyDescent="0.3">
      <c r="A46">
        <v>1171</v>
      </c>
      <c r="B46">
        <v>849</v>
      </c>
      <c r="C46">
        <v>1169.7969000000001</v>
      </c>
      <c r="D46">
        <v>823.87109999999996</v>
      </c>
      <c r="E46">
        <v>1090</v>
      </c>
      <c r="F46">
        <v>1089.5990999999999</v>
      </c>
      <c r="M46">
        <v>1106</v>
      </c>
      <c r="N46" t="s">
        <v>9</v>
      </c>
      <c r="R46">
        <v>1110</v>
      </c>
      <c r="S46">
        <v>1078</v>
      </c>
      <c r="T46">
        <v>1571</v>
      </c>
      <c r="W46">
        <v>1177</v>
      </c>
      <c r="X46">
        <v>238</v>
      </c>
      <c r="Y46">
        <v>1171.5947000000001</v>
      </c>
      <c r="Z46">
        <v>316.0231</v>
      </c>
      <c r="AA46">
        <v>1076</v>
      </c>
      <c r="AB46">
        <v>1075.1774</v>
      </c>
      <c r="AI46">
        <v>1154</v>
      </c>
      <c r="AJ46">
        <v>1098</v>
      </c>
      <c r="AK46">
        <v>1199</v>
      </c>
      <c r="AL46">
        <v>1154.0987</v>
      </c>
      <c r="AM46">
        <v>1098.8986</v>
      </c>
      <c r="AN46">
        <v>1194.4689000000001</v>
      </c>
      <c r="AO46">
        <f t="shared" si="0"/>
        <v>2</v>
      </c>
      <c r="AU46" cm="1">
        <f t="array" ref="AU46">IF($AO46="","", $AL46 - INDEX($AS$2:$AS$11,$AO46))</f>
        <v>9.3417052631582465</v>
      </c>
      <c r="AV46" cm="1">
        <f t="array" ref="AV46">IF($AO46="","", $AM46 - INDEX($AT$2:$AT$11,$AO46))</f>
        <v>3.2480026315790838</v>
      </c>
      <c r="AW46">
        <f t="shared" si="2"/>
        <v>30.341883278174162</v>
      </c>
      <c r="BB46">
        <v>1154</v>
      </c>
      <c r="BC46">
        <v>1096</v>
      </c>
      <c r="BD46">
        <v>1186</v>
      </c>
      <c r="BE46">
        <v>1155.7678000000001</v>
      </c>
      <c r="BF46">
        <v>1099.1394</v>
      </c>
      <c r="BG46">
        <v>1184.4245000000001</v>
      </c>
    </row>
    <row r="47" spans="1:59" x14ac:dyDescent="0.3">
      <c r="A47">
        <v>1175</v>
      </c>
      <c r="B47">
        <v>735</v>
      </c>
      <c r="C47">
        <v>1175.5794000000001</v>
      </c>
      <c r="D47">
        <v>725.15089999999998</v>
      </c>
      <c r="E47">
        <v>1090</v>
      </c>
      <c r="F47">
        <v>1089.4118000000001</v>
      </c>
      <c r="M47">
        <v>1103</v>
      </c>
      <c r="N47">
        <v>1080</v>
      </c>
      <c r="O47">
        <v>1251</v>
      </c>
      <c r="R47">
        <v>1119</v>
      </c>
      <c r="S47">
        <v>1079</v>
      </c>
      <c r="T47">
        <v>1463</v>
      </c>
      <c r="W47">
        <v>1176</v>
      </c>
      <c r="X47">
        <v>269</v>
      </c>
      <c r="Y47">
        <v>1165.0661</v>
      </c>
      <c r="Z47">
        <v>371.30250000000001</v>
      </c>
      <c r="AA47">
        <v>1074</v>
      </c>
      <c r="AB47">
        <v>1074.4531999999999</v>
      </c>
      <c r="AI47">
        <v>1159</v>
      </c>
      <c r="AJ47">
        <v>1098</v>
      </c>
      <c r="AK47">
        <v>1099</v>
      </c>
      <c r="AL47">
        <v>1160.9629</v>
      </c>
      <c r="AM47">
        <v>1098.9906000000001</v>
      </c>
      <c r="AN47">
        <v>1104.5038999999999</v>
      </c>
      <c r="AO47">
        <f t="shared" si="0"/>
        <v>2</v>
      </c>
      <c r="AU47" cm="1">
        <f t="array" ref="AU47">IF($AO47="","", $AL47 - INDEX($AS$2:$AS$11,$AO47))</f>
        <v>16.205905263158229</v>
      </c>
      <c r="AV47" cm="1">
        <f t="array" ref="AV47">IF($AO47="","", $AM47 - INDEX($AT$2:$AT$11,$AO47))</f>
        <v>3.340002631579182</v>
      </c>
      <c r="AW47">
        <f t="shared" si="2"/>
        <v>54.127766226071401</v>
      </c>
      <c r="BB47">
        <v>1161</v>
      </c>
      <c r="BC47">
        <v>1099</v>
      </c>
      <c r="BD47">
        <v>1088</v>
      </c>
      <c r="BE47">
        <v>1162.8105</v>
      </c>
      <c r="BF47">
        <v>1099.28</v>
      </c>
      <c r="BG47">
        <v>1091.7152000000001</v>
      </c>
    </row>
    <row r="48" spans="1:59" x14ac:dyDescent="0.3">
      <c r="A48">
        <v>1179</v>
      </c>
      <c r="B48">
        <v>635</v>
      </c>
      <c r="C48">
        <v>1180.2308</v>
      </c>
      <c r="D48">
        <v>636.36279999999999</v>
      </c>
      <c r="E48">
        <v>1089</v>
      </c>
      <c r="F48">
        <v>1089.1122</v>
      </c>
      <c r="M48">
        <v>1091</v>
      </c>
      <c r="N48">
        <v>1080</v>
      </c>
      <c r="O48">
        <v>1395</v>
      </c>
      <c r="R48">
        <v>1127</v>
      </c>
      <c r="S48">
        <v>1079</v>
      </c>
      <c r="T48">
        <v>1340</v>
      </c>
      <c r="W48">
        <v>1163</v>
      </c>
      <c r="X48">
        <v>314</v>
      </c>
      <c r="Y48">
        <v>1157.4358</v>
      </c>
      <c r="Z48">
        <v>447.13409999999999</v>
      </c>
      <c r="AA48">
        <v>1072</v>
      </c>
      <c r="AB48">
        <v>1073.7885000000001</v>
      </c>
      <c r="AI48">
        <v>1166</v>
      </c>
      <c r="AJ48">
        <v>1098</v>
      </c>
      <c r="AK48">
        <v>1007</v>
      </c>
      <c r="AL48">
        <v>1167.4195999999999</v>
      </c>
      <c r="AM48">
        <v>1098.9816000000001</v>
      </c>
      <c r="AN48">
        <v>1013.5551</v>
      </c>
      <c r="AO48">
        <f t="shared" si="0"/>
        <v>2</v>
      </c>
      <c r="AU48" cm="1">
        <f t="array" ref="AU48">IF($AO48="","", $AL48 - INDEX($AS$2:$AS$11,$AO48))</f>
        <v>22.662605263158184</v>
      </c>
      <c r="AV48" cm="1">
        <f t="array" ref="AV48">IF($AO48="","", $AM48 - INDEX($AT$2:$AT$11,$AO48))</f>
        <v>3.3310026315791674</v>
      </c>
      <c r="AW48">
        <f t="shared" si="2"/>
        <v>75.4891977700198</v>
      </c>
      <c r="BB48">
        <v>1170</v>
      </c>
      <c r="BC48">
        <v>1098</v>
      </c>
      <c r="BD48">
        <v>991</v>
      </c>
      <c r="BE48">
        <v>1169.396</v>
      </c>
      <c r="BF48">
        <v>1099.3043</v>
      </c>
      <c r="BG48">
        <v>998.30229999999995</v>
      </c>
    </row>
    <row r="49" spans="1:59" x14ac:dyDescent="0.3">
      <c r="A49">
        <v>1183</v>
      </c>
      <c r="B49">
        <v>542</v>
      </c>
      <c r="C49">
        <v>1183.6196</v>
      </c>
      <c r="D49">
        <v>560.00450000000001</v>
      </c>
      <c r="E49">
        <v>1088</v>
      </c>
      <c r="F49">
        <v>1088.7084</v>
      </c>
      <c r="M49" t="s">
        <v>3</v>
      </c>
      <c r="R49">
        <v>1139</v>
      </c>
      <c r="S49">
        <v>1081</v>
      </c>
      <c r="T49">
        <v>1216</v>
      </c>
      <c r="W49">
        <v>1158</v>
      </c>
      <c r="X49">
        <v>393</v>
      </c>
      <c r="Y49">
        <v>1148.9359999999999</v>
      </c>
      <c r="Z49">
        <v>541.1549</v>
      </c>
      <c r="AA49">
        <v>1073</v>
      </c>
      <c r="AB49">
        <v>1073.2021</v>
      </c>
      <c r="AI49">
        <v>1173</v>
      </c>
      <c r="AJ49">
        <v>1100</v>
      </c>
      <c r="AK49">
        <v>910</v>
      </c>
      <c r="AL49">
        <v>1173.2883999999999</v>
      </c>
      <c r="AM49">
        <v>1098.8715999999999</v>
      </c>
      <c r="AN49">
        <v>924.14469999999994</v>
      </c>
      <c r="AO49">
        <f t="shared" si="0"/>
        <v>2</v>
      </c>
      <c r="AU49" cm="1">
        <f t="array" ref="AU49">IF($AO49="","", $AL49 - INDEX($AS$2:$AS$11,$AO49))</f>
        <v>28.531405263158149</v>
      </c>
      <c r="AV49" cm="1">
        <f t="array" ref="AV49">IF($AO49="","", $AM49 - INDEX($AT$2:$AT$11,$AO49))</f>
        <v>3.2210026315790401</v>
      </c>
      <c r="AW49">
        <f t="shared" si="2"/>
        <v>91.899731435280472</v>
      </c>
      <c r="BB49">
        <v>1175</v>
      </c>
      <c r="BC49">
        <v>1101</v>
      </c>
      <c r="BD49">
        <v>893</v>
      </c>
      <c r="BE49">
        <v>1175.3416999999999</v>
      </c>
      <c r="BF49">
        <v>1099.2122999999999</v>
      </c>
      <c r="BG49">
        <v>906.76919999999996</v>
      </c>
    </row>
    <row r="50" spans="1:59" x14ac:dyDescent="0.3">
      <c r="A50">
        <v>1183</v>
      </c>
      <c r="B50">
        <v>463</v>
      </c>
      <c r="C50">
        <v>1185.6496999999999</v>
      </c>
      <c r="D50">
        <v>498.24189999999999</v>
      </c>
      <c r="E50">
        <v>1088</v>
      </c>
      <c r="F50">
        <v>1088.2113999999999</v>
      </c>
      <c r="M50">
        <v>1074</v>
      </c>
      <c r="N50">
        <v>1081</v>
      </c>
      <c r="O50">
        <v>1711</v>
      </c>
      <c r="R50" t="s">
        <v>22</v>
      </c>
      <c r="W50">
        <v>1150</v>
      </c>
      <c r="X50">
        <v>591</v>
      </c>
      <c r="Y50">
        <v>1139.8228999999999</v>
      </c>
      <c r="Z50">
        <v>650.48099999999999</v>
      </c>
      <c r="AA50">
        <v>1073</v>
      </c>
      <c r="AB50">
        <v>1072.7103999999999</v>
      </c>
      <c r="AI50">
        <v>1177</v>
      </c>
      <c r="AJ50">
        <v>1095</v>
      </c>
      <c r="AK50">
        <v>823</v>
      </c>
      <c r="AL50">
        <v>1178.4034999999999</v>
      </c>
      <c r="AM50">
        <v>1098.6632999999999</v>
      </c>
      <c r="AN50">
        <v>838.78369999999995</v>
      </c>
      <c r="AO50">
        <f t="shared" si="0"/>
        <v>2</v>
      </c>
      <c r="AU50" cm="1">
        <f t="array" ref="AU50">IF($AO50="","", $AL50 - INDEX($AS$2:$AS$11,$AO50))</f>
        <v>33.646505263158133</v>
      </c>
      <c r="AV50" cm="1">
        <f t="array" ref="AV50">IF($AO50="","", $AM50 - INDEX($AT$2:$AT$11,$AO50))</f>
        <v>3.0127026315790317</v>
      </c>
      <c r="AW50">
        <f t="shared" si="2"/>
        <v>101.36691494975425</v>
      </c>
      <c r="BB50">
        <v>1181</v>
      </c>
      <c r="BC50">
        <v>1098</v>
      </c>
      <c r="BD50">
        <v>805</v>
      </c>
      <c r="BE50">
        <v>1180.4817</v>
      </c>
      <c r="BF50">
        <v>1099.0071</v>
      </c>
      <c r="BG50">
        <v>819.68029999999999</v>
      </c>
    </row>
    <row r="51" spans="1:59" x14ac:dyDescent="0.3">
      <c r="A51">
        <v>1185</v>
      </c>
      <c r="B51">
        <v>413</v>
      </c>
      <c r="C51">
        <v>1186.2632000000001</v>
      </c>
      <c r="D51">
        <v>452.84710000000001</v>
      </c>
      <c r="E51">
        <v>1087</v>
      </c>
      <c r="F51">
        <v>1087.6355000000001</v>
      </c>
      <c r="M51">
        <v>1065</v>
      </c>
      <c r="N51">
        <v>1079</v>
      </c>
      <c r="O51">
        <v>1836</v>
      </c>
      <c r="R51">
        <v>1155</v>
      </c>
      <c r="S51">
        <v>1082</v>
      </c>
      <c r="T51">
        <v>981</v>
      </c>
      <c r="W51">
        <v>1130</v>
      </c>
      <c r="X51">
        <v>701</v>
      </c>
      <c r="Y51">
        <v>1130.3688</v>
      </c>
      <c r="Z51">
        <v>771.79719999999998</v>
      </c>
      <c r="AA51">
        <v>1070</v>
      </c>
      <c r="AB51">
        <v>1072.3268</v>
      </c>
      <c r="AI51">
        <v>1184</v>
      </c>
      <c r="AJ51">
        <v>1098</v>
      </c>
      <c r="AK51">
        <v>733</v>
      </c>
      <c r="AL51">
        <v>1182.6192000000001</v>
      </c>
      <c r="AM51">
        <v>1098.3626999999999</v>
      </c>
      <c r="AN51">
        <v>759.90020000000004</v>
      </c>
      <c r="AO51">
        <f t="shared" si="0"/>
        <v>2</v>
      </c>
      <c r="AU51" cm="1">
        <f t="array" ref="AU51">IF($AO51="","", $AL51 - INDEX($AS$2:$AS$11,$AO51))</f>
        <v>37.86220526315833</v>
      </c>
      <c r="AV51" cm="1">
        <f t="array" ref="AV51">IF($AO51="","", $AM51 - INDEX($AT$2:$AT$11,$AO51))</f>
        <v>2.7121026315790004</v>
      </c>
      <c r="AW51">
        <f t="shared" si="2"/>
        <v>102.68618653159599</v>
      </c>
      <c r="BB51">
        <v>1185</v>
      </c>
      <c r="BC51">
        <v>1097</v>
      </c>
      <c r="BD51">
        <v>708</v>
      </c>
      <c r="BE51">
        <v>1184.6706999999999</v>
      </c>
      <c r="BF51">
        <v>1098.6954000000001</v>
      </c>
      <c r="BG51">
        <v>739.50810000000001</v>
      </c>
    </row>
    <row r="52" spans="1:59" x14ac:dyDescent="0.3">
      <c r="A52">
        <v>1186</v>
      </c>
      <c r="B52">
        <v>385</v>
      </c>
      <c r="C52">
        <v>1185.442</v>
      </c>
      <c r="D52">
        <v>425.14679999999998</v>
      </c>
      <c r="E52">
        <v>1086</v>
      </c>
      <c r="F52">
        <v>1086.9970000000001</v>
      </c>
      <c r="M52">
        <v>1063</v>
      </c>
      <c r="N52">
        <v>1081</v>
      </c>
      <c r="O52">
        <v>1939</v>
      </c>
      <c r="R52">
        <v>1165</v>
      </c>
      <c r="S52">
        <v>1082</v>
      </c>
      <c r="T52">
        <v>839</v>
      </c>
      <c r="W52">
        <v>1122</v>
      </c>
      <c r="X52">
        <v>839</v>
      </c>
      <c r="Y52">
        <v>1120.8543999999999</v>
      </c>
      <c r="Z52">
        <v>901.45960000000002</v>
      </c>
      <c r="AA52">
        <v>1072</v>
      </c>
      <c r="AB52">
        <v>1072.0617</v>
      </c>
      <c r="AI52">
        <v>1187</v>
      </c>
      <c r="AJ52">
        <v>1098</v>
      </c>
      <c r="AK52">
        <v>657</v>
      </c>
      <c r="AL52">
        <v>1185.8134</v>
      </c>
      <c r="AM52">
        <v>1097.9785999999999</v>
      </c>
      <c r="AN52">
        <v>689.76880000000006</v>
      </c>
      <c r="AO52">
        <f t="shared" si="0"/>
        <v>2</v>
      </c>
      <c r="AU52" cm="1">
        <f t="array" ref="AU52">IF($AO52="","", $AL52 - INDEX($AS$2:$AS$11,$AO52))</f>
        <v>41.05640526315824</v>
      </c>
      <c r="AV52" cm="1">
        <f t="array" ref="AV52">IF($AO52="","", $AM52 - INDEX($AT$2:$AT$11,$AO52))</f>
        <v>2.328002631579011</v>
      </c>
      <c r="AW52">
        <f t="shared" si="2"/>
        <v>95.579419495806746</v>
      </c>
      <c r="BB52">
        <v>1184</v>
      </c>
      <c r="BC52">
        <v>1099</v>
      </c>
      <c r="BD52">
        <v>632</v>
      </c>
      <c r="BE52">
        <v>1187.7889</v>
      </c>
      <c r="BF52">
        <v>1098.287</v>
      </c>
      <c r="BG52">
        <v>668.56079999999997</v>
      </c>
    </row>
    <row r="53" spans="1:59" x14ac:dyDescent="0.3">
      <c r="A53">
        <v>1185</v>
      </c>
      <c r="B53">
        <v>377</v>
      </c>
      <c r="C53">
        <v>1183.2084</v>
      </c>
      <c r="D53">
        <v>415.98180000000002</v>
      </c>
      <c r="E53">
        <v>1085</v>
      </c>
      <c r="F53">
        <v>1086.3146999999999</v>
      </c>
      <c r="M53">
        <v>1062</v>
      </c>
      <c r="N53">
        <v>1082</v>
      </c>
      <c r="O53">
        <v>2017</v>
      </c>
      <c r="R53">
        <v>1168</v>
      </c>
      <c r="S53">
        <v>1082</v>
      </c>
      <c r="T53">
        <v>718</v>
      </c>
      <c r="W53">
        <v>1109</v>
      </c>
      <c r="X53">
        <v>993</v>
      </c>
      <c r="Y53">
        <v>1111.5595000000001</v>
      </c>
      <c r="Z53">
        <v>1035.6074000000001</v>
      </c>
      <c r="AA53">
        <v>1071</v>
      </c>
      <c r="AB53">
        <v>1071.9215999999999</v>
      </c>
      <c r="AI53">
        <v>1194</v>
      </c>
      <c r="AJ53">
        <v>1097</v>
      </c>
      <c r="AK53">
        <v>590</v>
      </c>
      <c r="AL53">
        <v>1187.8916999999999</v>
      </c>
      <c r="AM53">
        <v>1097.5219999999999</v>
      </c>
      <c r="AN53">
        <v>630.4434</v>
      </c>
      <c r="AO53">
        <f t="shared" si="0"/>
        <v>2</v>
      </c>
      <c r="AU53" cm="1">
        <f t="array" ref="AU53">IF($AO53="","", $AL53 - INDEX($AS$2:$AS$11,$AO53))</f>
        <v>43.134705263158139</v>
      </c>
      <c r="AV53" cm="1">
        <f t="array" ref="AV53">IF($AO53="","", $AM53 - INDEX($AT$2:$AT$11,$AO53))</f>
        <v>1.8714026315790306</v>
      </c>
      <c r="AW53">
        <f t="shared" si="2"/>
        <v>80.722400941860002</v>
      </c>
      <c r="BB53">
        <v>1190</v>
      </c>
      <c r="BC53">
        <v>1097</v>
      </c>
      <c r="BD53">
        <v>562</v>
      </c>
      <c r="BE53">
        <v>1189.7453</v>
      </c>
      <c r="BF53">
        <v>1097.7943</v>
      </c>
      <c r="BG53">
        <v>608.91459999999995</v>
      </c>
    </row>
    <row r="54" spans="1:59" x14ac:dyDescent="0.3">
      <c r="A54">
        <v>1179</v>
      </c>
      <c r="B54">
        <v>389</v>
      </c>
      <c r="C54">
        <v>1179.6246000000001</v>
      </c>
      <c r="D54">
        <v>425.68110000000001</v>
      </c>
      <c r="E54">
        <v>1083</v>
      </c>
      <c r="F54">
        <v>1085.6086</v>
      </c>
      <c r="M54">
        <v>1064</v>
      </c>
      <c r="N54">
        <v>1083</v>
      </c>
      <c r="O54" t="s">
        <v>10</v>
      </c>
      <c r="R54">
        <v>1175</v>
      </c>
      <c r="S54">
        <v>1079</v>
      </c>
      <c r="T54">
        <v>610</v>
      </c>
      <c r="W54">
        <v>1101</v>
      </c>
      <c r="X54">
        <v>1140</v>
      </c>
      <c r="Y54">
        <v>1102.7553</v>
      </c>
      <c r="Z54">
        <v>1170.2798</v>
      </c>
      <c r="AA54">
        <v>1071</v>
      </c>
      <c r="AB54">
        <v>1071.9095</v>
      </c>
      <c r="AI54">
        <v>1191</v>
      </c>
      <c r="AJ54">
        <v>1096</v>
      </c>
      <c r="AK54">
        <v>535</v>
      </c>
      <c r="AL54">
        <v>1188.7900999999999</v>
      </c>
      <c r="AM54">
        <v>1097.0065</v>
      </c>
      <c r="AN54">
        <v>583.69460000000004</v>
      </c>
      <c r="AO54">
        <f t="shared" si="0"/>
        <v>2</v>
      </c>
      <c r="AU54" cm="1">
        <f t="array" ref="AU54">IF($AO54="","", $AL54 - INDEX($AS$2:$AS$11,$AO54))</f>
        <v>44.033105263158177</v>
      </c>
      <c r="AV54" cm="1">
        <f t="array" ref="AV54">IF($AO54="","", $AM54 - INDEX($AT$2:$AT$11,$AO54))</f>
        <v>1.3559026315790561</v>
      </c>
      <c r="AW54">
        <f t="shared" si="2"/>
        <v>59.70460330291376</v>
      </c>
      <c r="BB54">
        <v>1193</v>
      </c>
      <c r="BC54">
        <v>1096</v>
      </c>
      <c r="BD54">
        <v>502</v>
      </c>
      <c r="BE54">
        <v>1190.4802999999999</v>
      </c>
      <c r="BF54">
        <v>1097.2321999999999</v>
      </c>
      <c r="BG54">
        <v>562.35029999999995</v>
      </c>
    </row>
    <row r="55" spans="1:59" x14ac:dyDescent="0.3">
      <c r="A55">
        <v>1176</v>
      </c>
      <c r="B55">
        <v>406</v>
      </c>
      <c r="C55">
        <v>1174.7909</v>
      </c>
      <c r="D55">
        <v>454.0489</v>
      </c>
      <c r="E55">
        <v>1083</v>
      </c>
      <c r="F55">
        <v>1084.8997999999999</v>
      </c>
      <c r="M55">
        <v>1066</v>
      </c>
      <c r="N55">
        <v>1084</v>
      </c>
      <c r="O55">
        <v>2075</v>
      </c>
      <c r="R55">
        <v>1181</v>
      </c>
      <c r="S55">
        <v>1080</v>
      </c>
      <c r="T55">
        <v>503</v>
      </c>
      <c r="W55">
        <v>1094</v>
      </c>
      <c r="X55">
        <v>1282</v>
      </c>
      <c r="Y55">
        <v>1094.6957</v>
      </c>
      <c r="Z55">
        <v>1301.5356999999999</v>
      </c>
      <c r="AA55">
        <v>1071</v>
      </c>
      <c r="AB55">
        <v>1072.0244</v>
      </c>
      <c r="AI55">
        <v>1191</v>
      </c>
      <c r="AJ55">
        <v>1095</v>
      </c>
      <c r="AK55">
        <v>496</v>
      </c>
      <c r="AL55">
        <v>1188.4774</v>
      </c>
      <c r="AM55">
        <v>1096.4473</v>
      </c>
      <c r="AN55">
        <v>550.95550000000003</v>
      </c>
      <c r="AO55">
        <f t="shared" si="0"/>
        <v>2</v>
      </c>
      <c r="AU55" cm="1">
        <f t="array" ref="AU55">IF($AO55="","", $AL55 - INDEX($AS$2:$AS$11,$AO55))</f>
        <v>43.720405263158227</v>
      </c>
      <c r="AV55" cm="1">
        <f t="array" ref="AV55">IF($AO55="","", $AM55 - INDEX($AT$2:$AT$11,$AO55))</f>
        <v>0.79670263157913723</v>
      </c>
      <c r="AW55">
        <f t="shared" si="2"/>
        <v>34.832161926864522</v>
      </c>
      <c r="BB55">
        <v>1194</v>
      </c>
      <c r="BC55">
        <v>1095</v>
      </c>
      <c r="BD55">
        <v>465</v>
      </c>
      <c r="BE55">
        <v>1189.9676999999999</v>
      </c>
      <c r="BF55">
        <v>1096.6176</v>
      </c>
      <c r="BG55">
        <v>530.29819999999995</v>
      </c>
    </row>
    <row r="56" spans="1:59" x14ac:dyDescent="0.3">
      <c r="A56">
        <v>1173</v>
      </c>
      <c r="B56">
        <v>443</v>
      </c>
      <c r="C56">
        <v>1168.8432</v>
      </c>
      <c r="D56">
        <v>500.36680000000001</v>
      </c>
      <c r="E56">
        <v>1083</v>
      </c>
      <c r="F56">
        <v>1084.2094999999999</v>
      </c>
      <c r="M56">
        <v>1073</v>
      </c>
      <c r="N56">
        <v>1086</v>
      </c>
      <c r="O56">
        <v>2044</v>
      </c>
      <c r="R56" t="s">
        <v>23</v>
      </c>
      <c r="S56">
        <v>1077</v>
      </c>
      <c r="T56">
        <v>344</v>
      </c>
      <c r="W56">
        <v>1088</v>
      </c>
      <c r="X56">
        <v>1429</v>
      </c>
      <c r="Y56">
        <v>1087.6105</v>
      </c>
      <c r="Z56">
        <v>1425.5708999999999</v>
      </c>
      <c r="AA56">
        <v>1071</v>
      </c>
      <c r="AB56">
        <v>1072.2617</v>
      </c>
      <c r="AI56">
        <v>1191</v>
      </c>
      <c r="AJ56">
        <v>1095</v>
      </c>
      <c r="AK56">
        <v>480</v>
      </c>
      <c r="AL56">
        <v>1186.9558</v>
      </c>
      <c r="AM56">
        <v>1095.8611000000001</v>
      </c>
      <c r="AN56">
        <v>533.27560000000005</v>
      </c>
      <c r="AO56">
        <f t="shared" si="0"/>
        <v>2</v>
      </c>
      <c r="AU56" cm="1">
        <f t="array" ref="AU56">IF($AO56="","", $AL56 - INDEX($AS$2:$AS$11,$AO56))</f>
        <v>42.198805263158192</v>
      </c>
      <c r="AV56" cm="1">
        <f t="array" ref="AV56">IF($AO56="","", $AM56 - INDEX($AT$2:$AT$11,$AO56))</f>
        <v>0.2105026315791747</v>
      </c>
      <c r="AW56">
        <f t="shared" si="2"/>
        <v>8.8829595573919278</v>
      </c>
      <c r="BB56">
        <v>1189</v>
      </c>
      <c r="BC56">
        <v>1095</v>
      </c>
      <c r="BD56">
        <v>451</v>
      </c>
      <c r="BE56">
        <v>1188.2158999999999</v>
      </c>
      <c r="BF56">
        <v>1095.9688000000001</v>
      </c>
      <c r="BG56">
        <v>513.79229999999995</v>
      </c>
    </row>
    <row r="57" spans="1:59" x14ac:dyDescent="0.3">
      <c r="A57">
        <v>1165</v>
      </c>
      <c r="B57">
        <v>495</v>
      </c>
      <c r="C57">
        <v>1161.9486999999999</v>
      </c>
      <c r="D57">
        <v>563.41070000000002</v>
      </c>
      <c r="E57">
        <v>1084</v>
      </c>
      <c r="F57">
        <v>1083.5587</v>
      </c>
      <c r="M57">
        <v>1080</v>
      </c>
      <c r="N57">
        <v>1086</v>
      </c>
      <c r="O57">
        <v>1993</v>
      </c>
      <c r="R57">
        <v>1183</v>
      </c>
      <c r="S57">
        <v>1078</v>
      </c>
      <c r="T57">
        <v>303</v>
      </c>
      <c r="W57">
        <v>1081</v>
      </c>
      <c r="X57">
        <v>1551</v>
      </c>
      <c r="Y57">
        <v>1081.6980000000001</v>
      </c>
      <c r="Z57">
        <v>1538.8308999999999</v>
      </c>
      <c r="AA57">
        <v>1071</v>
      </c>
      <c r="AB57">
        <v>1072.6130000000001</v>
      </c>
      <c r="AI57">
        <v>1187</v>
      </c>
      <c r="AJ57">
        <v>1093</v>
      </c>
      <c r="AK57">
        <v>483</v>
      </c>
      <c r="AL57">
        <v>1184.2619</v>
      </c>
      <c r="AM57">
        <v>1095.2655</v>
      </c>
      <c r="AN57">
        <v>531.28560000000004</v>
      </c>
      <c r="AO57">
        <f t="shared" si="0"/>
        <v>2</v>
      </c>
      <c r="AU57" cm="1">
        <f t="array" ref="AU57">IF($AO57="","", $AL57 - INDEX($AS$2:$AS$11,$AO57))</f>
        <v>39.504905263158207</v>
      </c>
      <c r="AV57" cm="1">
        <f t="array" ref="AV57">IF($AO57="","", $AM57 - INDEX($AT$2:$AT$11,$AO57))</f>
        <v>-0.38509736842092934</v>
      </c>
      <c r="AW57">
        <f t="shared" si="2"/>
        <v>-15.213235056560347</v>
      </c>
      <c r="BB57">
        <v>1188</v>
      </c>
      <c r="BC57">
        <v>1095</v>
      </c>
      <c r="BD57">
        <v>462</v>
      </c>
      <c r="BE57">
        <v>1185.2679000000001</v>
      </c>
      <c r="BF57">
        <v>1095.3049000000001</v>
      </c>
      <c r="BG57">
        <v>513.43529999999998</v>
      </c>
    </row>
    <row r="58" spans="1:59" x14ac:dyDescent="0.3">
      <c r="A58">
        <v>1156</v>
      </c>
      <c r="B58">
        <v>570</v>
      </c>
      <c r="C58">
        <v>1154.3019999999999</v>
      </c>
      <c r="D58">
        <v>641.48130000000003</v>
      </c>
      <c r="E58">
        <v>1082</v>
      </c>
      <c r="F58">
        <v>1082.9675</v>
      </c>
      <c r="M58">
        <v>1088</v>
      </c>
      <c r="N58">
        <v>1088</v>
      </c>
      <c r="O58">
        <v>1915</v>
      </c>
      <c r="R58">
        <v>1185</v>
      </c>
      <c r="S58">
        <v>1078</v>
      </c>
      <c r="T58">
        <v>290</v>
      </c>
      <c r="W58">
        <v>1074</v>
      </c>
      <c r="X58">
        <v>1663</v>
      </c>
      <c r="Y58">
        <v>1077.1201000000001</v>
      </c>
      <c r="Z58">
        <v>1638.1146000000001</v>
      </c>
      <c r="AA58">
        <v>1073</v>
      </c>
      <c r="AB58">
        <v>1073.067</v>
      </c>
      <c r="AI58">
        <v>1184</v>
      </c>
      <c r="AJ58">
        <v>1096</v>
      </c>
      <c r="AK58">
        <v>504</v>
      </c>
      <c r="AL58">
        <v>1180.4650999999999</v>
      </c>
      <c r="AM58">
        <v>1094.6782000000001</v>
      </c>
      <c r="AN58">
        <v>545.17420000000004</v>
      </c>
      <c r="AO58">
        <f t="shared" si="0"/>
        <v>2</v>
      </c>
      <c r="AU58" cm="1">
        <f t="array" ref="AU58">IF($AO58="","", $AL58 - INDEX($AS$2:$AS$11,$AO58))</f>
        <v>35.708105263158131</v>
      </c>
      <c r="AV58" cm="1">
        <f t="array" ref="AV58">IF($AO58="","", $AM58 - INDEX($AT$2:$AT$11,$AO58))</f>
        <v>-0.97239736842084312</v>
      </c>
      <c r="AW58">
        <f t="shared" si="2"/>
        <v>-34.722467589189428</v>
      </c>
      <c r="BB58">
        <v>1186</v>
      </c>
      <c r="BC58">
        <v>1094</v>
      </c>
      <c r="BD58">
        <v>487</v>
      </c>
      <c r="BE58">
        <v>1181.2003</v>
      </c>
      <c r="BF58">
        <v>1094.6455000000001</v>
      </c>
      <c r="BG58">
        <v>529.37540000000001</v>
      </c>
    </row>
    <row r="59" spans="1:59" x14ac:dyDescent="0.3">
      <c r="A59">
        <v>1149</v>
      </c>
      <c r="B59">
        <v>653</v>
      </c>
      <c r="C59">
        <v>1146.1188</v>
      </c>
      <c r="D59">
        <v>732.44979999999998</v>
      </c>
      <c r="E59">
        <v>1082</v>
      </c>
      <c r="F59">
        <v>1082.454</v>
      </c>
      <c r="M59">
        <v>1099</v>
      </c>
      <c r="N59">
        <v>1090</v>
      </c>
      <c r="O59">
        <v>1816</v>
      </c>
      <c r="R59">
        <v>1181</v>
      </c>
      <c r="S59">
        <v>1076</v>
      </c>
      <c r="T59">
        <v>298</v>
      </c>
      <c r="W59">
        <v>1071</v>
      </c>
      <c r="X59">
        <v>1749</v>
      </c>
      <c r="Y59">
        <v>1073.9971</v>
      </c>
      <c r="Z59">
        <v>1720.6661999999999</v>
      </c>
      <c r="AA59">
        <v>1071</v>
      </c>
      <c r="AB59">
        <v>1073.6088999999999</v>
      </c>
      <c r="AI59">
        <v>1179</v>
      </c>
      <c r="AJ59">
        <v>1094</v>
      </c>
      <c r="AK59">
        <v>542</v>
      </c>
      <c r="AL59">
        <v>1175.6668</v>
      </c>
      <c r="AM59">
        <v>1094.1169</v>
      </c>
      <c r="AN59">
        <v>574.6771</v>
      </c>
      <c r="AO59">
        <f t="shared" si="0"/>
        <v>2</v>
      </c>
      <c r="AU59" cm="1">
        <f t="array" ref="AU59">IF($AO59="","", $AL59 - INDEX($AS$2:$AS$11,$AO59))</f>
        <v>30.909805263158205</v>
      </c>
      <c r="AV59" cm="1">
        <f t="array" ref="AV59">IF($AO59="","", $AM59 - INDEX($AT$2:$AT$11,$AO59))</f>
        <v>-1.533697368420917</v>
      </c>
      <c r="AW59">
        <f t="shared" si="2"/>
        <v>-47.406286990508747</v>
      </c>
      <c r="BB59">
        <v>1179</v>
      </c>
      <c r="BC59">
        <v>1094</v>
      </c>
      <c r="BD59">
        <v>531</v>
      </c>
      <c r="BE59">
        <v>1176.1214</v>
      </c>
      <c r="BF59">
        <v>1094.0099</v>
      </c>
      <c r="BG59">
        <v>561.29690000000005</v>
      </c>
    </row>
    <row r="60" spans="1:59" x14ac:dyDescent="0.3">
      <c r="A60">
        <v>1137</v>
      </c>
      <c r="B60">
        <v>754</v>
      </c>
      <c r="C60">
        <v>1137.6306</v>
      </c>
      <c r="D60">
        <v>833.81420000000003</v>
      </c>
      <c r="E60">
        <v>1082</v>
      </c>
      <c r="F60">
        <v>1082.0346</v>
      </c>
      <c r="M60">
        <v>1112</v>
      </c>
      <c r="N60">
        <v>1089</v>
      </c>
      <c r="O60">
        <v>1692</v>
      </c>
      <c r="R60">
        <v>1176</v>
      </c>
      <c r="S60">
        <v>1075</v>
      </c>
      <c r="T60">
        <v>325</v>
      </c>
      <c r="W60">
        <v>1067</v>
      </c>
      <c r="X60">
        <v>1821</v>
      </c>
      <c r="Y60">
        <v>1072.4050999999999</v>
      </c>
      <c r="Z60">
        <v>1784.2527</v>
      </c>
      <c r="AA60">
        <v>1071</v>
      </c>
      <c r="AB60">
        <v>1074.222</v>
      </c>
      <c r="AI60">
        <v>1170</v>
      </c>
      <c r="AJ60">
        <v>1094</v>
      </c>
      <c r="AK60">
        <v>585</v>
      </c>
      <c r="AL60">
        <v>1169.9973</v>
      </c>
      <c r="AM60">
        <v>1093.5986</v>
      </c>
      <c r="AN60">
        <v>619.08000000000004</v>
      </c>
      <c r="AO60">
        <f t="shared" si="0"/>
        <v>2</v>
      </c>
      <c r="AU60" cm="1">
        <f t="array" ref="AU60">IF($AO60="","", $AL60 - INDEX($AS$2:$AS$11,$AO60))</f>
        <v>25.240305263158234</v>
      </c>
      <c r="AV60" cm="1">
        <f t="array" ref="AV60">IF($AO60="","", $AM60 - INDEX($AT$2:$AT$11,$AO60))</f>
        <v>-2.0519973684208708</v>
      </c>
      <c r="AW60">
        <f t="shared" si="2"/>
        <v>-51.79303997814015</v>
      </c>
      <c r="BB60">
        <v>1171</v>
      </c>
      <c r="BC60">
        <v>1092</v>
      </c>
      <c r="BD60">
        <v>577</v>
      </c>
      <c r="BE60">
        <v>1170.1686</v>
      </c>
      <c r="BF60">
        <v>1093.4163000000001</v>
      </c>
      <c r="BG60">
        <v>608.42340000000002</v>
      </c>
    </row>
    <row r="61" spans="1:59" x14ac:dyDescent="0.3">
      <c r="A61">
        <v>1131</v>
      </c>
      <c r="B61">
        <v>968</v>
      </c>
      <c r="C61">
        <v>1129.0777</v>
      </c>
      <c r="D61">
        <v>942.76819999999998</v>
      </c>
      <c r="E61">
        <v>1080</v>
      </c>
      <c r="F61">
        <v>1081.7228</v>
      </c>
      <c r="M61">
        <v>1121</v>
      </c>
      <c r="N61">
        <v>1091</v>
      </c>
      <c r="O61">
        <v>1563</v>
      </c>
      <c r="R61">
        <v>1169</v>
      </c>
      <c r="S61">
        <v>1075</v>
      </c>
      <c r="T61">
        <v>367</v>
      </c>
      <c r="W61">
        <v>1067</v>
      </c>
      <c r="X61">
        <v>1867</v>
      </c>
      <c r="Y61">
        <v>1072.3737000000001</v>
      </c>
      <c r="Z61">
        <v>1827.2249999999999</v>
      </c>
      <c r="AA61">
        <v>1074</v>
      </c>
      <c r="AB61">
        <v>1074.8870999999999</v>
      </c>
      <c r="AI61">
        <v>1166</v>
      </c>
      <c r="AJ61">
        <v>1093</v>
      </c>
      <c r="AK61">
        <v>646</v>
      </c>
      <c r="AL61">
        <v>1163.6121000000001</v>
      </c>
      <c r="AM61">
        <v>1093.1389999999999</v>
      </c>
      <c r="AN61">
        <v>677.23350000000005</v>
      </c>
      <c r="AO61">
        <f t="shared" si="0"/>
        <v>2</v>
      </c>
      <c r="AU61" cm="1">
        <f t="array" ref="AU61">IF($AO61="","", $AL61 - INDEX($AS$2:$AS$11,$AO61))</f>
        <v>18.855105263158293</v>
      </c>
      <c r="AV61" cm="1">
        <f t="array" ref="AV61">IF($AO61="","", $AM61 - INDEX($AT$2:$AT$11,$AO61))</f>
        <v>-2.5115973684210076</v>
      </c>
      <c r="AW61">
        <f t="shared" si="2"/>
        <v>-47.356432760249461</v>
      </c>
      <c r="BB61">
        <v>1168</v>
      </c>
      <c r="BC61">
        <v>1093</v>
      </c>
      <c r="BD61">
        <v>643</v>
      </c>
      <c r="BE61">
        <v>1163.5046</v>
      </c>
      <c r="BF61">
        <v>1092.8820000000001</v>
      </c>
      <c r="BG61">
        <v>669.53510000000006</v>
      </c>
    </row>
    <row r="62" spans="1:59" x14ac:dyDescent="0.3">
      <c r="A62">
        <v>1118</v>
      </c>
      <c r="B62">
        <v>1086</v>
      </c>
      <c r="C62">
        <v>1120.7027</v>
      </c>
      <c r="D62">
        <v>1056.2779</v>
      </c>
      <c r="E62">
        <v>1080</v>
      </c>
      <c r="F62">
        <v>1081.529</v>
      </c>
      <c r="M62">
        <v>1134</v>
      </c>
      <c r="N62">
        <v>1090</v>
      </c>
      <c r="O62">
        <v>1413</v>
      </c>
      <c r="R62">
        <v>1160</v>
      </c>
      <c r="S62">
        <v>1073</v>
      </c>
      <c r="T62">
        <v>419</v>
      </c>
      <c r="AI62">
        <v>1158</v>
      </c>
      <c r="AJ62">
        <v>1092</v>
      </c>
      <c r="AK62">
        <v>711</v>
      </c>
      <c r="AL62">
        <v>1156.6883</v>
      </c>
      <c r="AM62">
        <v>1092.7521999999999</v>
      </c>
      <c r="AN62">
        <v>747.58270000000005</v>
      </c>
      <c r="AO62">
        <f t="shared" si="0"/>
        <v>2</v>
      </c>
      <c r="AU62" cm="1">
        <f t="array" ref="AU62">IF($AO62="","", $AL62 - INDEX($AS$2:$AS$11,$AO62))</f>
        <v>11.931305263158265</v>
      </c>
      <c r="AV62" cm="1">
        <f t="array" ref="AV62">IF($AO62="","", $AM62 - INDEX($AT$2:$AT$11,$AO62))</f>
        <v>-2.8983973684210014</v>
      </c>
      <c r="AW62">
        <f t="shared" si="2"/>
        <v>-34.581663776565556</v>
      </c>
      <c r="BB62">
        <v>1156</v>
      </c>
      <c r="BC62">
        <v>1092</v>
      </c>
      <c r="BD62">
        <v>716</v>
      </c>
      <c r="BE62">
        <v>1156.3130000000001</v>
      </c>
      <c r="BF62">
        <v>1092.4221</v>
      </c>
      <c r="BG62">
        <v>742.99929999999995</v>
      </c>
    </row>
    <row r="63" spans="1:59" x14ac:dyDescent="0.3">
      <c r="A63">
        <v>1107</v>
      </c>
      <c r="B63">
        <v>1187</v>
      </c>
      <c r="C63">
        <v>1112.7431999999999</v>
      </c>
      <c r="D63">
        <v>1171.1668999999999</v>
      </c>
      <c r="E63">
        <v>1081</v>
      </c>
      <c r="F63">
        <v>1081.4602</v>
      </c>
      <c r="M63">
        <v>1149</v>
      </c>
      <c r="N63">
        <v>1091</v>
      </c>
      <c r="O63">
        <v>1261</v>
      </c>
      <c r="R63">
        <v>1154</v>
      </c>
      <c r="S63">
        <v>1075</v>
      </c>
      <c r="T63">
        <v>493</v>
      </c>
      <c r="AI63">
        <v>1154</v>
      </c>
      <c r="AJ63">
        <v>1091</v>
      </c>
      <c r="AK63">
        <v>795</v>
      </c>
      <c r="AL63">
        <v>1149.4194</v>
      </c>
      <c r="AM63">
        <v>1092.45</v>
      </c>
      <c r="AN63">
        <v>828.20759999999996</v>
      </c>
      <c r="AO63">
        <f t="shared" si="0"/>
        <v>2</v>
      </c>
      <c r="AU63" cm="1">
        <f t="array" ref="AU63">IF($AO63="","", $AL63 - INDEX($AS$2:$AS$11,$AO63))</f>
        <v>4.6624052631582344</v>
      </c>
      <c r="AV63" cm="1">
        <f t="array" ref="AV63">IF($AO63="","", $AM63 - INDEX($AT$2:$AT$11,$AO63))</f>
        <v>-3.2005973684208584</v>
      </c>
      <c r="AW63">
        <f t="shared" si="2"/>
        <v>-14.922482015775804</v>
      </c>
      <c r="BB63">
        <v>1152</v>
      </c>
      <c r="BC63">
        <v>1091</v>
      </c>
      <c r="BD63">
        <v>802</v>
      </c>
      <c r="BE63">
        <v>1148.7935</v>
      </c>
      <c r="BF63">
        <v>1092.0496000000001</v>
      </c>
      <c r="BG63">
        <v>826.81320000000005</v>
      </c>
    </row>
    <row r="64" spans="1:59" x14ac:dyDescent="0.3">
      <c r="A64">
        <v>1099</v>
      </c>
      <c r="B64">
        <v>1320</v>
      </c>
      <c r="C64">
        <v>1105.4257</v>
      </c>
      <c r="D64">
        <v>1284.2045000000001</v>
      </c>
      <c r="E64">
        <v>1081</v>
      </c>
      <c r="F64">
        <v>1081.5199</v>
      </c>
      <c r="M64">
        <v>1153</v>
      </c>
      <c r="N64">
        <v>1087</v>
      </c>
      <c r="O64">
        <v>1080</v>
      </c>
      <c r="R64">
        <v>1143</v>
      </c>
      <c r="S64">
        <v>1074</v>
      </c>
      <c r="T64">
        <v>583</v>
      </c>
      <c r="AI64">
        <v>1142</v>
      </c>
      <c r="AJ64">
        <v>1090</v>
      </c>
      <c r="AK64">
        <v>880</v>
      </c>
      <c r="AL64">
        <v>1142.0098</v>
      </c>
      <c r="AM64">
        <v>1092.2419</v>
      </c>
      <c r="AN64">
        <v>916.87620000000004</v>
      </c>
      <c r="AO64">
        <f t="shared" si="0"/>
        <v>2</v>
      </c>
      <c r="AU64" cm="1">
        <f t="array" ref="AU64">IF($AO64="","", $AL64 - INDEX($AS$2:$AS$11,$AO64))</f>
        <v>-2.7471947368417204</v>
      </c>
      <c r="AV64" cm="1">
        <f t="array" ref="AV64">IF($AO64="","", $AM64 - INDEX($AT$2:$AT$11,$AO64))</f>
        <v>-3.408697368420917</v>
      </c>
      <c r="AW64">
        <f t="shared" si="2"/>
        <v>9.3643554700121658</v>
      </c>
      <c r="BB64">
        <v>1142</v>
      </c>
      <c r="BC64">
        <v>1092</v>
      </c>
      <c r="BD64">
        <v>894</v>
      </c>
      <c r="BE64">
        <v>1141.1560999999999</v>
      </c>
      <c r="BF64">
        <v>1091.7746</v>
      </c>
      <c r="BG64">
        <v>918.65859999999998</v>
      </c>
    </row>
    <row r="65" spans="1:59" x14ac:dyDescent="0.3">
      <c r="A65">
        <v>1098</v>
      </c>
      <c r="B65">
        <v>1432</v>
      </c>
      <c r="C65">
        <v>1098.9585999999999</v>
      </c>
      <c r="D65">
        <v>1392.1976999999999</v>
      </c>
      <c r="E65">
        <v>1081</v>
      </c>
      <c r="F65">
        <v>1081.7075</v>
      </c>
      <c r="M65">
        <v>1168</v>
      </c>
      <c r="N65">
        <v>1090</v>
      </c>
      <c r="O65">
        <v>936</v>
      </c>
      <c r="R65">
        <v>1140</v>
      </c>
      <c r="S65" t="s">
        <v>24</v>
      </c>
      <c r="AI65">
        <v>1135</v>
      </c>
      <c r="AJ65">
        <v>1091</v>
      </c>
      <c r="AK65">
        <v>983</v>
      </c>
      <c r="AL65">
        <v>1134.6693</v>
      </c>
      <c r="AM65">
        <v>1092.1344999999999</v>
      </c>
      <c r="AN65">
        <v>1011.1054</v>
      </c>
      <c r="AO65">
        <f t="shared" si="0"/>
        <v>2</v>
      </c>
      <c r="AU65" cm="1">
        <f t="array" ref="AU65">IF($AO65="","", $AL65 - INDEX($AS$2:$AS$11,$AO65))</f>
        <v>-10.08769473684174</v>
      </c>
      <c r="AV65" cm="1">
        <f t="array" ref="AV65">IF($AO65="","", $AM65 - INDEX($AT$2:$AT$11,$AO65))</f>
        <v>-3.5160973684210148</v>
      </c>
      <c r="AW65">
        <f t="shared" si="2"/>
        <v>35.469316917643766</v>
      </c>
      <c r="BB65">
        <v>1137</v>
      </c>
      <c r="BC65">
        <v>1091</v>
      </c>
      <c r="BD65">
        <v>994</v>
      </c>
      <c r="BE65">
        <v>1133.6153999999999</v>
      </c>
      <c r="BF65">
        <v>1091.6045999999999</v>
      </c>
      <c r="BG65">
        <v>1015.9656</v>
      </c>
    </row>
    <row r="66" spans="1:59" x14ac:dyDescent="0.3">
      <c r="A66">
        <v>1091</v>
      </c>
      <c r="B66">
        <v>1535</v>
      </c>
      <c r="C66">
        <v>1093.5264999999999</v>
      </c>
      <c r="D66">
        <v>1492.0811000000001</v>
      </c>
      <c r="E66">
        <v>1083</v>
      </c>
      <c r="F66">
        <v>1082.019</v>
      </c>
      <c r="M66">
        <v>1179</v>
      </c>
      <c r="N66">
        <v>1090</v>
      </c>
      <c r="O66">
        <v>779</v>
      </c>
      <c r="R66">
        <v>1128</v>
      </c>
      <c r="S66">
        <v>1073</v>
      </c>
      <c r="T66">
        <v>807</v>
      </c>
      <c r="AI66">
        <v>1130</v>
      </c>
      <c r="AJ66">
        <v>1092</v>
      </c>
      <c r="AK66">
        <v>1083</v>
      </c>
      <c r="AL66">
        <v>1127.6067</v>
      </c>
      <c r="AM66">
        <v>1092.1315999999999</v>
      </c>
      <c r="AN66">
        <v>1108.2324000000001</v>
      </c>
      <c r="AO66">
        <f t="shared" si="0"/>
        <v>2</v>
      </c>
      <c r="AU66" cm="1">
        <f t="array" ref="AU66">IF($AO66="","", $AL66 - INDEX($AS$2:$AS$11,$AO66))</f>
        <v>-17.150294736841715</v>
      </c>
      <c r="AV66" cm="1">
        <f t="array" ref="AV66">IF($AO66="","", $AM66 - INDEX($AT$2:$AT$11,$AO66))</f>
        <v>-3.518997368420969</v>
      </c>
      <c r="AW66">
        <f t="shared" si="2"/>
        <v>60.351842046589994</v>
      </c>
      <c r="BB66">
        <v>1128</v>
      </c>
      <c r="BC66">
        <v>1092</v>
      </c>
      <c r="BD66">
        <v>1093</v>
      </c>
      <c r="BE66">
        <v>1126.3846000000001</v>
      </c>
      <c r="BF66">
        <v>1091.5436</v>
      </c>
      <c r="BG66">
        <v>1115.9854</v>
      </c>
    </row>
    <row r="67" spans="1:59" x14ac:dyDescent="0.3">
      <c r="A67">
        <v>1087</v>
      </c>
      <c r="B67">
        <v>1635</v>
      </c>
      <c r="C67">
        <v>1089.2849000000001</v>
      </c>
      <c r="D67">
        <v>1581.0053</v>
      </c>
      <c r="E67">
        <v>1082</v>
      </c>
      <c r="F67">
        <v>1082.4463000000001</v>
      </c>
      <c r="M67">
        <v>1186</v>
      </c>
      <c r="N67">
        <v>1091</v>
      </c>
      <c r="O67">
        <v>616</v>
      </c>
      <c r="R67">
        <v>1117</v>
      </c>
      <c r="S67">
        <v>1073</v>
      </c>
      <c r="T67">
        <v>935</v>
      </c>
      <c r="AI67">
        <v>1112</v>
      </c>
      <c r="AJ67">
        <v>1091</v>
      </c>
      <c r="AK67">
        <v>1252</v>
      </c>
      <c r="AL67">
        <v>1121.0244</v>
      </c>
      <c r="AM67">
        <v>1092.2338</v>
      </c>
      <c r="AN67">
        <v>1205.4899</v>
      </c>
      <c r="AO67">
        <f t="shared" ref="AO67:AO130" si="3">IF(ROW()-ROW($AL$2)+1&lt;=$AP$3, INT((ROW()-ROW($AL$2))/$AP$1)+1, "")</f>
        <v>2</v>
      </c>
      <c r="AU67" cm="1">
        <f t="array" ref="AU67">IF($AO67="","", $AL67 - INDEX($AS$2:$AS$11,$AO67))</f>
        <v>-23.732594736841747</v>
      </c>
      <c r="AV67" cm="1">
        <f t="array" ref="AV67">IF($AO67="","", $AM67 - INDEX($AT$2:$AT$11,$AO67))</f>
        <v>-3.4167973684209301</v>
      </c>
      <c r="AW67">
        <f t="shared" ref="AW67:AW130" si="4">IF($AO67="","", $AU67*$AV67)</f>
        <v>81.089467242641291</v>
      </c>
      <c r="BB67">
        <v>1115</v>
      </c>
      <c r="BC67">
        <v>1090</v>
      </c>
      <c r="BD67">
        <v>1265</v>
      </c>
      <c r="BE67">
        <v>1119.6692</v>
      </c>
      <c r="BF67">
        <v>1091.5927999999999</v>
      </c>
      <c r="BG67">
        <v>1215.8687</v>
      </c>
    </row>
    <row r="68" spans="1:59" x14ac:dyDescent="0.3">
      <c r="A68">
        <v>1085</v>
      </c>
      <c r="B68">
        <v>1711</v>
      </c>
      <c r="C68">
        <v>1086.3559</v>
      </c>
      <c r="D68">
        <v>1656.4183</v>
      </c>
      <c r="E68">
        <v>1082</v>
      </c>
      <c r="F68">
        <v>1082.9781</v>
      </c>
      <c r="M68">
        <v>1196</v>
      </c>
      <c r="N68">
        <v>1090</v>
      </c>
      <c r="O68">
        <v>474</v>
      </c>
      <c r="R68">
        <v>1096</v>
      </c>
      <c r="S68">
        <v>1072</v>
      </c>
      <c r="T68">
        <v>1166</v>
      </c>
      <c r="AI68">
        <v>1107</v>
      </c>
      <c r="AJ68">
        <v>1091</v>
      </c>
      <c r="AK68">
        <v>1359</v>
      </c>
      <c r="AL68">
        <v>1115.1122</v>
      </c>
      <c r="AM68">
        <v>1092.4386</v>
      </c>
      <c r="AN68">
        <v>1300.0863999999999</v>
      </c>
      <c r="AO68">
        <f t="shared" si="3"/>
        <v>2</v>
      </c>
      <c r="AU68" cm="1">
        <f t="array" ref="AU68">IF($AO68="","", $AL68 - INDEX($AS$2:$AS$11,$AO68))</f>
        <v>-29.644794736841732</v>
      </c>
      <c r="AV68" cm="1">
        <f t="array" ref="AV68">IF($AO68="","", $AM68 - INDEX($AT$2:$AT$11,$AO68))</f>
        <v>-3.2119973684209526</v>
      </c>
      <c r="AW68">
        <f t="shared" si="4"/>
        <v>95.219002682114947</v>
      </c>
      <c r="BB68">
        <v>1107</v>
      </c>
      <c r="BC68">
        <v>1091</v>
      </c>
      <c r="BD68">
        <v>1378</v>
      </c>
      <c r="BE68">
        <v>1113.6612</v>
      </c>
      <c r="BF68">
        <v>1091.7498000000001</v>
      </c>
      <c r="BG68">
        <v>1312.7475999999999</v>
      </c>
    </row>
    <row r="69" spans="1:59" x14ac:dyDescent="0.3">
      <c r="A69">
        <v>1080</v>
      </c>
      <c r="B69">
        <v>1764</v>
      </c>
      <c r="C69">
        <v>1084.8241</v>
      </c>
      <c r="D69">
        <v>1716.1404</v>
      </c>
      <c r="E69">
        <v>1083</v>
      </c>
      <c r="F69">
        <v>1083.5997</v>
      </c>
      <c r="M69">
        <v>1202</v>
      </c>
      <c r="N69">
        <v>1089</v>
      </c>
      <c r="O69">
        <v>349</v>
      </c>
      <c r="R69">
        <v>1091</v>
      </c>
      <c r="S69">
        <v>1073</v>
      </c>
      <c r="T69" t="s">
        <v>25</v>
      </c>
      <c r="AI69">
        <v>1099</v>
      </c>
      <c r="AJ69">
        <v>1093</v>
      </c>
      <c r="AK69">
        <v>1460</v>
      </c>
      <c r="AL69">
        <v>1110.0418</v>
      </c>
      <c r="AM69">
        <v>1092.7405000000001</v>
      </c>
      <c r="AN69">
        <v>1389.2876000000001</v>
      </c>
      <c r="AO69">
        <f t="shared" si="3"/>
        <v>2</v>
      </c>
      <c r="AU69" cm="1">
        <f t="array" ref="AU69">IF($AO69="","", $AL69 - INDEX($AS$2:$AS$11,$AO69))</f>
        <v>-34.715194736841795</v>
      </c>
      <c r="AV69" cm="1">
        <f t="array" ref="AV69">IF($AO69="","", $AM69 - INDEX($AT$2:$AT$11,$AO69))</f>
        <v>-2.9100973684207929</v>
      </c>
      <c r="AW69">
        <f t="shared" si="4"/>
        <v>101.02459684789866</v>
      </c>
      <c r="BB69">
        <v>1103</v>
      </c>
      <c r="BC69">
        <v>1091</v>
      </c>
      <c r="BD69">
        <v>1475</v>
      </c>
      <c r="BE69">
        <v>1108.5337</v>
      </c>
      <c r="BF69">
        <v>1092.0092999999999</v>
      </c>
      <c r="BG69">
        <v>1403.8194000000001</v>
      </c>
    </row>
    <row r="70" spans="1:59" x14ac:dyDescent="0.3">
      <c r="A70">
        <v>1082</v>
      </c>
      <c r="B70">
        <v>1795</v>
      </c>
      <c r="C70">
        <v>1084.7348999999999</v>
      </c>
      <c r="D70">
        <v>1758.4273000000001</v>
      </c>
      <c r="E70">
        <v>1082</v>
      </c>
      <c r="F70">
        <v>1084.2940000000001</v>
      </c>
      <c r="M70">
        <v>1208</v>
      </c>
      <c r="N70">
        <v>1087</v>
      </c>
      <c r="O70">
        <v>243</v>
      </c>
      <c r="R70">
        <v>1078</v>
      </c>
      <c r="S70">
        <v>1072</v>
      </c>
      <c r="T70">
        <v>1550</v>
      </c>
      <c r="AI70">
        <v>1099</v>
      </c>
      <c r="AJ70">
        <v>1092</v>
      </c>
      <c r="AK70">
        <v>1535</v>
      </c>
      <c r="AL70">
        <v>1105.9617000000001</v>
      </c>
      <c r="AM70">
        <v>1093.1312</v>
      </c>
      <c r="AN70">
        <v>1470.4965999999999</v>
      </c>
      <c r="AO70">
        <f t="shared" si="3"/>
        <v>2</v>
      </c>
      <c r="AU70" cm="1">
        <f t="array" ref="AU70">IF($AO70="","", $AL70 - INDEX($AS$2:$AS$11,$AO70))</f>
        <v>-38.795294736841697</v>
      </c>
      <c r="AV70" cm="1">
        <f t="array" ref="AV70">IF($AO70="","", $AM70 - INDEX($AT$2:$AT$11,$AO70))</f>
        <v>-2.5193973684208686</v>
      </c>
      <c r="AW70">
        <f t="shared" si="4"/>
        <v>97.740763467110952</v>
      </c>
      <c r="BB70">
        <v>1101</v>
      </c>
      <c r="BC70">
        <v>1092</v>
      </c>
      <c r="BD70">
        <v>1549</v>
      </c>
      <c r="BE70">
        <v>1104.4357</v>
      </c>
      <c r="BF70">
        <v>1092.3628000000001</v>
      </c>
      <c r="BG70">
        <v>1486.4286</v>
      </c>
    </row>
    <row r="71" spans="1:59" x14ac:dyDescent="0.3">
      <c r="A71">
        <v>1086</v>
      </c>
      <c r="B71">
        <v>1806</v>
      </c>
      <c r="C71">
        <v>1086.0925999999999</v>
      </c>
      <c r="D71">
        <v>1782.0225</v>
      </c>
      <c r="E71">
        <v>1086</v>
      </c>
      <c r="F71">
        <v>1085.0411999999999</v>
      </c>
      <c r="M71">
        <v>1208</v>
      </c>
      <c r="N71">
        <v>1088</v>
      </c>
      <c r="O71">
        <v>170</v>
      </c>
      <c r="R71">
        <v>1073</v>
      </c>
      <c r="S71">
        <v>1075</v>
      </c>
      <c r="T71">
        <v>1664</v>
      </c>
      <c r="AI71">
        <v>1098</v>
      </c>
      <c r="AJ71">
        <v>1092</v>
      </c>
      <c r="AK71">
        <v>1604</v>
      </c>
      <c r="AL71">
        <v>1102.9930999999999</v>
      </c>
      <c r="AM71">
        <v>1093.5997</v>
      </c>
      <c r="AN71">
        <v>1541.3311000000001</v>
      </c>
      <c r="AO71">
        <f t="shared" si="3"/>
        <v>2</v>
      </c>
      <c r="AU71" cm="1">
        <f t="array" ref="AU71">IF($AO71="","", $AL71 - INDEX($AS$2:$AS$11,$AO71))</f>
        <v>-41.763894736841848</v>
      </c>
      <c r="AV71" cm="1">
        <f t="array" ref="AV71">IF($AO71="","", $AM71 - INDEX($AT$2:$AT$11,$AO71))</f>
        <v>-2.0508973684209195</v>
      </c>
      <c r="AW71">
        <f t="shared" si="4"/>
        <v>85.653461810797239</v>
      </c>
      <c r="BB71">
        <v>1094</v>
      </c>
      <c r="BC71">
        <v>1092</v>
      </c>
      <c r="BD71">
        <v>1620</v>
      </c>
      <c r="BE71">
        <v>1101.4876999999999</v>
      </c>
      <c r="BF71">
        <v>1092.7992999999999</v>
      </c>
      <c r="BG71">
        <v>1558.1461999999999</v>
      </c>
    </row>
    <row r="72" spans="1:59" x14ac:dyDescent="0.3">
      <c r="A72">
        <v>1091</v>
      </c>
      <c r="B72">
        <v>1791</v>
      </c>
      <c r="C72">
        <v>1088.8602000000001</v>
      </c>
      <c r="D72">
        <v>1786.1953000000001</v>
      </c>
      <c r="E72">
        <v>1085</v>
      </c>
      <c r="F72">
        <v>1085.8202000000001</v>
      </c>
      <c r="M72">
        <v>1208</v>
      </c>
      <c r="N72">
        <v>1087</v>
      </c>
      <c r="O72">
        <v>120</v>
      </c>
      <c r="R72">
        <v>1070</v>
      </c>
      <c r="S72">
        <v>1075</v>
      </c>
      <c r="T72">
        <v>1751</v>
      </c>
      <c r="AI72">
        <v>1099</v>
      </c>
      <c r="AJ72">
        <v>1094</v>
      </c>
      <c r="AK72">
        <v>1666</v>
      </c>
      <c r="AL72">
        <v>1101.2256</v>
      </c>
      <c r="AM72">
        <v>1094.1328000000001</v>
      </c>
      <c r="AN72">
        <v>1599.6945000000001</v>
      </c>
      <c r="AO72">
        <f t="shared" si="3"/>
        <v>2</v>
      </c>
      <c r="AU72" cm="1">
        <f t="array" ref="AU72">IF($AO72="","", $AL72 - INDEX($AS$2:$AS$11,$AO72))</f>
        <v>-43.531394736841776</v>
      </c>
      <c r="AV72" cm="1">
        <f t="array" ref="AV72">IF($AO72="","", $AM72 - INDEX($AT$2:$AT$11,$AO72))</f>
        <v>-1.5177973684208155</v>
      </c>
      <c r="AW72">
        <f t="shared" si="4"/>
        <v>66.071836375266187</v>
      </c>
      <c r="BB72">
        <v>1095</v>
      </c>
      <c r="BC72">
        <v>1092</v>
      </c>
      <c r="BD72">
        <v>1682</v>
      </c>
      <c r="BE72">
        <v>1099.7781</v>
      </c>
      <c r="BF72">
        <v>1093.3054</v>
      </c>
      <c r="BG72">
        <v>1616.8416999999999</v>
      </c>
    </row>
    <row r="73" spans="1:59" x14ac:dyDescent="0.3">
      <c r="A73">
        <v>1092</v>
      </c>
      <c r="B73">
        <v>1773</v>
      </c>
      <c r="C73">
        <v>1092.961</v>
      </c>
      <c r="D73">
        <v>1770.7641000000001</v>
      </c>
      <c r="E73">
        <v>1085</v>
      </c>
      <c r="F73">
        <v>1086.6086</v>
      </c>
      <c r="M73">
        <v>1208</v>
      </c>
      <c r="N73">
        <v>1086</v>
      </c>
      <c r="O73">
        <v>99</v>
      </c>
      <c r="R73">
        <v>1070</v>
      </c>
      <c r="S73">
        <v>1075</v>
      </c>
      <c r="T73">
        <v>1815</v>
      </c>
      <c r="AI73">
        <v>1096</v>
      </c>
      <c r="AJ73">
        <v>1093</v>
      </c>
      <c r="AK73">
        <v>1705</v>
      </c>
      <c r="AL73">
        <v>1100.7154</v>
      </c>
      <c r="AM73">
        <v>1094.7153000000001</v>
      </c>
      <c r="AN73">
        <v>1643.8391999999999</v>
      </c>
      <c r="AO73">
        <f t="shared" si="3"/>
        <v>2</v>
      </c>
      <c r="AU73" cm="1">
        <f t="array" ref="AU73">IF($AO73="","", $AL73 - INDEX($AS$2:$AS$11,$AO73))</f>
        <v>-44.041594736841716</v>
      </c>
      <c r="AV73" cm="1">
        <f t="array" ref="AV73">IF($AO73="","", $AM73 - INDEX($AT$2:$AT$11,$AO73))</f>
        <v>-0.93529736842083366</v>
      </c>
      <c r="AW73">
        <f t="shared" si="4"/>
        <v>41.191987658424893</v>
      </c>
      <c r="BB73">
        <v>1095</v>
      </c>
      <c r="BC73">
        <v>1094</v>
      </c>
      <c r="BD73">
        <v>1718</v>
      </c>
      <c r="BE73">
        <v>1099.3604</v>
      </c>
      <c r="BF73">
        <v>1093.8657000000001</v>
      </c>
      <c r="BG73">
        <v>1660.7482</v>
      </c>
    </row>
    <row r="74" spans="1:59" x14ac:dyDescent="0.3">
      <c r="A74">
        <v>1099</v>
      </c>
      <c r="B74">
        <v>1735</v>
      </c>
      <c r="C74">
        <v>1098.2799</v>
      </c>
      <c r="D74">
        <v>1736.104</v>
      </c>
      <c r="E74">
        <v>1087</v>
      </c>
      <c r="F74">
        <v>1087.3837000000001</v>
      </c>
      <c r="M74">
        <v>1202</v>
      </c>
      <c r="N74">
        <v>1085</v>
      </c>
      <c r="O74">
        <v>102</v>
      </c>
      <c r="R74">
        <v>1071</v>
      </c>
      <c r="S74">
        <v>1078</v>
      </c>
      <c r="T74" t="s">
        <v>26</v>
      </c>
      <c r="AI74">
        <v>1099</v>
      </c>
      <c r="AJ74">
        <v>1094</v>
      </c>
      <c r="AK74">
        <v>1725</v>
      </c>
      <c r="AL74">
        <v>1101.4825000000001</v>
      </c>
      <c r="AM74">
        <v>1095.3305</v>
      </c>
      <c r="AN74">
        <v>1672.42</v>
      </c>
      <c r="AO74">
        <f t="shared" si="3"/>
        <v>2</v>
      </c>
      <c r="AU74" cm="1">
        <f t="array" ref="AU74">IF($AO74="","", $AL74 - INDEX($AS$2:$AS$11,$AO74))</f>
        <v>-43.274494736841689</v>
      </c>
      <c r="AV74" cm="1">
        <f t="array" ref="AV74">IF($AO74="","", $AM74 - INDEX($AT$2:$AT$11,$AO74))</f>
        <v>-0.32009736842087477</v>
      </c>
      <c r="AW74">
        <f t="shared" si="4"/>
        <v>13.85205188500602</v>
      </c>
      <c r="BB74">
        <v>1095</v>
      </c>
      <c r="BC74">
        <v>1093</v>
      </c>
      <c r="BD74">
        <v>1735</v>
      </c>
      <c r="BE74">
        <v>1100.2517</v>
      </c>
      <c r="BF74">
        <v>1094.4635000000001</v>
      </c>
      <c r="BG74">
        <v>1688.5163</v>
      </c>
    </row>
    <row r="75" spans="1:59" x14ac:dyDescent="0.3">
      <c r="A75">
        <v>1107</v>
      </c>
      <c r="B75">
        <v>1683</v>
      </c>
      <c r="C75">
        <v>1104.6669999999999</v>
      </c>
      <c r="D75">
        <v>1683.1387999999999</v>
      </c>
      <c r="E75">
        <v>1087</v>
      </c>
      <c r="F75">
        <v>1088.1229000000001</v>
      </c>
      <c r="M75">
        <v>1197</v>
      </c>
      <c r="N75">
        <v>1084</v>
      </c>
      <c r="O75">
        <v>124</v>
      </c>
      <c r="R75" t="s">
        <v>27</v>
      </c>
      <c r="S75">
        <v>1856</v>
      </c>
      <c r="AI75">
        <v>1103</v>
      </c>
      <c r="AJ75">
        <v>1096</v>
      </c>
      <c r="AK75">
        <v>1722</v>
      </c>
      <c r="AL75">
        <v>1103.5105000000001</v>
      </c>
      <c r="AM75">
        <v>1095.961</v>
      </c>
      <c r="AN75">
        <v>1684.5361</v>
      </c>
      <c r="AO75">
        <f t="shared" si="3"/>
        <v>2</v>
      </c>
      <c r="AU75" cm="1">
        <f t="array" ref="AU75">IF($AO75="","", $AL75 - INDEX($AS$2:$AS$11,$AO75))</f>
        <v>-41.246494736841669</v>
      </c>
      <c r="AV75" cm="1">
        <f t="array" ref="AV75">IF($AO75="","", $AM75 - INDEX($AT$2:$AT$11,$AO75))</f>
        <v>0.31040263157910886</v>
      </c>
      <c r="AW75">
        <f t="shared" si="4"/>
        <v>-12.803020509729517</v>
      </c>
      <c r="BB75">
        <v>1099</v>
      </c>
      <c r="BC75">
        <v>1096</v>
      </c>
      <c r="BD75">
        <v>1731</v>
      </c>
      <c r="BE75">
        <v>1102.4317000000001</v>
      </c>
      <c r="BF75">
        <v>1095.0808</v>
      </c>
      <c r="BG75">
        <v>1699.2566999999999</v>
      </c>
    </row>
    <row r="76" spans="1:59" x14ac:dyDescent="0.3">
      <c r="A76">
        <v>1113</v>
      </c>
      <c r="B76">
        <v>1614</v>
      </c>
      <c r="C76">
        <v>1111.9419</v>
      </c>
      <c r="D76">
        <v>1613.3167000000001</v>
      </c>
      <c r="E76">
        <v>1090</v>
      </c>
      <c r="F76">
        <v>1088.8047999999999</v>
      </c>
      <c r="M76">
        <v>1189</v>
      </c>
      <c r="N76">
        <v>1083</v>
      </c>
      <c r="O76">
        <v>173</v>
      </c>
      <c r="R76">
        <v>1075</v>
      </c>
      <c r="S76">
        <v>1080</v>
      </c>
      <c r="T76">
        <v>1827</v>
      </c>
      <c r="AI76">
        <v>1107</v>
      </c>
      <c r="AJ76">
        <v>1098</v>
      </c>
      <c r="AK76">
        <v>1701</v>
      </c>
      <c r="AL76">
        <v>1106.7469000000001</v>
      </c>
      <c r="AM76">
        <v>1096.5887</v>
      </c>
      <c r="AN76">
        <v>1679.7602999999999</v>
      </c>
      <c r="AO76">
        <f t="shared" si="3"/>
        <v>2</v>
      </c>
      <c r="AU76" cm="1">
        <f t="array" ref="AU76">IF($AO76="","", $AL76 - INDEX($AS$2:$AS$11,$AO76))</f>
        <v>-38.010094736841666</v>
      </c>
      <c r="AV76" cm="1">
        <f t="array" ref="AV76">IF($AO76="","", $AM76 - INDEX($AT$2:$AT$11,$AO76))</f>
        <v>0.93810263157911322</v>
      </c>
      <c r="AW76">
        <f t="shared" si="4"/>
        <v>-35.657369899202564</v>
      </c>
      <c r="BB76">
        <v>1105</v>
      </c>
      <c r="BC76">
        <v>1095</v>
      </c>
      <c r="BD76">
        <v>1703</v>
      </c>
      <c r="BE76">
        <v>1105.8434</v>
      </c>
      <c r="BF76">
        <v>1095.6994999999999</v>
      </c>
      <c r="BG76">
        <v>1692.5691999999999</v>
      </c>
    </row>
    <row r="77" spans="1:59" x14ac:dyDescent="0.3">
      <c r="A77">
        <v>1119</v>
      </c>
      <c r="B77">
        <v>1530</v>
      </c>
      <c r="C77">
        <v>1119.8987999999999</v>
      </c>
      <c r="D77">
        <v>1528.5710999999999</v>
      </c>
      <c r="E77">
        <v>1088</v>
      </c>
      <c r="F77">
        <v>1089.4093</v>
      </c>
      <c r="M77">
        <v>1176</v>
      </c>
      <c r="N77">
        <v>1083</v>
      </c>
      <c r="O77">
        <v>242</v>
      </c>
      <c r="R77">
        <v>1083</v>
      </c>
      <c r="S77" t="s">
        <v>28</v>
      </c>
      <c r="AI77">
        <v>1110</v>
      </c>
      <c r="AJ77">
        <v>1097</v>
      </c>
      <c r="AK77">
        <v>1660</v>
      </c>
      <c r="AL77">
        <v>1111.1041</v>
      </c>
      <c r="AM77">
        <v>1097.1957</v>
      </c>
      <c r="AN77">
        <v>1658.1534999999999</v>
      </c>
      <c r="AO77">
        <f t="shared" si="3"/>
        <v>2</v>
      </c>
      <c r="AU77" cm="1">
        <f t="array" ref="AU77">IF($AO77="","", $AL77 - INDEX($AS$2:$AS$11,$AO77))</f>
        <v>-33.652894736841745</v>
      </c>
      <c r="AV77" cm="1">
        <f t="array" ref="AV77">IF($AO77="","", $AM77 - INDEX($AT$2:$AT$11,$AO77))</f>
        <v>1.5451026315790841</v>
      </c>
      <c r="AW77">
        <f t="shared" si="4"/>
        <v>-51.997176218148091</v>
      </c>
      <c r="BB77">
        <v>1111</v>
      </c>
      <c r="BC77">
        <v>1095</v>
      </c>
      <c r="BD77">
        <v>1665</v>
      </c>
      <c r="BE77">
        <v>1110.394</v>
      </c>
      <c r="BF77">
        <v>1096.3013000000001</v>
      </c>
      <c r="BG77">
        <v>1668.5573999999999</v>
      </c>
    </row>
    <row r="78" spans="1:59" x14ac:dyDescent="0.3">
      <c r="A78">
        <v>1129</v>
      </c>
      <c r="B78">
        <v>1430</v>
      </c>
      <c r="C78">
        <v>1128.3118999999999</v>
      </c>
      <c r="D78">
        <v>1431.2674999999999</v>
      </c>
      <c r="E78">
        <v>1090</v>
      </c>
      <c r="F78">
        <v>1089.9185</v>
      </c>
      <c r="M78">
        <v>1168</v>
      </c>
      <c r="N78">
        <v>1081</v>
      </c>
      <c r="O78">
        <v>342</v>
      </c>
      <c r="R78">
        <v>1089</v>
      </c>
      <c r="S78">
        <v>1079</v>
      </c>
      <c r="T78">
        <v>1719</v>
      </c>
      <c r="AI78">
        <v>1119</v>
      </c>
      <c r="AJ78">
        <v>1098</v>
      </c>
      <c r="AK78">
        <v>1611</v>
      </c>
      <c r="AL78">
        <v>1116.462</v>
      </c>
      <c r="AM78">
        <v>1097.7646999999999</v>
      </c>
      <c r="AN78">
        <v>1620.2663</v>
      </c>
      <c r="AO78">
        <f t="shared" si="3"/>
        <v>3</v>
      </c>
      <c r="AU78" cm="1">
        <f t="array" ref="AU78">IF($AO78="","", $AL78 - INDEX($AS$2:$AS$11,$AO78))</f>
        <v>-28.692549999999756</v>
      </c>
      <c r="AV78" cm="1">
        <f t="array" ref="AV78">IF($AO78="","", $AM78 - INDEX($AT$2:$AT$11,$AO78))</f>
        <v>1.8752921052634974</v>
      </c>
      <c r="AW78">
        <f t="shared" si="4"/>
        <v>-53.806912494877707</v>
      </c>
      <c r="BB78">
        <v>1114</v>
      </c>
      <c r="BC78">
        <v>1095</v>
      </c>
      <c r="BD78">
        <v>1610</v>
      </c>
      <c r="BE78">
        <v>1115.9581000000001</v>
      </c>
      <c r="BF78">
        <v>1096.8688</v>
      </c>
      <c r="BG78">
        <v>1627.8289</v>
      </c>
    </row>
    <row r="79" spans="1:59" x14ac:dyDescent="0.3">
      <c r="A79">
        <v>1132</v>
      </c>
      <c r="B79">
        <v>1319</v>
      </c>
      <c r="C79">
        <v>1136.9425000000001</v>
      </c>
      <c r="D79">
        <v>1324.1369</v>
      </c>
      <c r="E79">
        <v>1090</v>
      </c>
      <c r="F79">
        <v>1090.3173999999999</v>
      </c>
      <c r="M79">
        <v>1159</v>
      </c>
      <c r="N79">
        <v>1080</v>
      </c>
      <c r="O79">
        <v>456</v>
      </c>
      <c r="R79" t="s">
        <v>29</v>
      </c>
      <c r="S79">
        <v>1079</v>
      </c>
      <c r="T79">
        <v>1553</v>
      </c>
      <c r="AI79">
        <v>1120</v>
      </c>
      <c r="AJ79">
        <v>1098</v>
      </c>
      <c r="AK79">
        <v>1550</v>
      </c>
      <c r="AL79">
        <v>1122.6712</v>
      </c>
      <c r="AM79">
        <v>1098.2793999999999</v>
      </c>
      <c r="AN79">
        <v>1567.1251</v>
      </c>
      <c r="AO79">
        <f t="shared" si="3"/>
        <v>3</v>
      </c>
      <c r="AU79" cm="1">
        <f t="array" ref="AU79">IF($AO79="","", $AL79 - INDEX($AS$2:$AS$11,$AO79))</f>
        <v>-22.483349999999746</v>
      </c>
      <c r="AV79" cm="1">
        <f t="array" ref="AV79">IF($AO79="","", $AM79 - INDEX($AT$2:$AT$11,$AO79))</f>
        <v>2.3899921052634454</v>
      </c>
      <c r="AW79">
        <f t="shared" si="4"/>
        <v>-53.735028999874281</v>
      </c>
      <c r="BB79">
        <v>1121</v>
      </c>
      <c r="BC79">
        <v>1097</v>
      </c>
      <c r="BD79">
        <v>1548</v>
      </c>
      <c r="BE79">
        <v>1122.3806</v>
      </c>
      <c r="BF79">
        <v>1097.3853999999999</v>
      </c>
      <c r="BG79">
        <v>1571.4802999999999</v>
      </c>
    </row>
    <row r="80" spans="1:59" x14ac:dyDescent="0.3">
      <c r="A80">
        <v>1141</v>
      </c>
      <c r="B80">
        <v>1209</v>
      </c>
      <c r="C80">
        <v>1145.5452</v>
      </c>
      <c r="D80">
        <v>1210.1994999999999</v>
      </c>
      <c r="E80">
        <v>1089</v>
      </c>
      <c r="F80">
        <v>1090.5936999999999</v>
      </c>
      <c r="M80">
        <v>1149</v>
      </c>
      <c r="N80">
        <v>1079</v>
      </c>
      <c r="O80">
        <v>594</v>
      </c>
      <c r="R80">
        <v>1117</v>
      </c>
      <c r="S80">
        <v>1081</v>
      </c>
      <c r="T80">
        <v>1445</v>
      </c>
      <c r="AI80">
        <v>1130</v>
      </c>
      <c r="AJ80">
        <v>1098</v>
      </c>
      <c r="AK80">
        <v>1480</v>
      </c>
      <c r="AL80">
        <v>1129.5572999999999</v>
      </c>
      <c r="AM80">
        <v>1098.7252000000001</v>
      </c>
      <c r="AN80">
        <v>1500.2040999999999</v>
      </c>
      <c r="AO80">
        <f t="shared" si="3"/>
        <v>3</v>
      </c>
      <c r="AU80" cm="1">
        <f t="array" ref="AU80">IF($AO80="","", $AL80 - INDEX($AS$2:$AS$11,$AO80))</f>
        <v>-15.597249999999804</v>
      </c>
      <c r="AV80" cm="1">
        <f t="array" ref="AV80">IF($AO80="","", $AM80 - INDEX($AT$2:$AT$11,$AO80))</f>
        <v>2.8357921052636357</v>
      </c>
      <c r="AW80">
        <f t="shared" si="4"/>
        <v>-44.230558413822685</v>
      </c>
      <c r="BB80">
        <v>1131</v>
      </c>
      <c r="BC80">
        <v>1099</v>
      </c>
      <c r="BD80">
        <v>1479</v>
      </c>
      <c r="BE80">
        <v>1129.4811</v>
      </c>
      <c r="BF80">
        <v>1097.8363999999999</v>
      </c>
      <c r="BG80">
        <v>1501.0681999999999</v>
      </c>
    </row>
    <row r="81" spans="1:59" x14ac:dyDescent="0.3">
      <c r="A81">
        <v>1152</v>
      </c>
      <c r="B81">
        <v>1112</v>
      </c>
      <c r="C81">
        <v>1153.8751999999999</v>
      </c>
      <c r="D81">
        <v>1092.6786999999999</v>
      </c>
      <c r="E81">
        <v>1091</v>
      </c>
      <c r="F81">
        <v>1090.7391</v>
      </c>
      <c r="M81" t="s">
        <v>4</v>
      </c>
      <c r="R81">
        <v>1129</v>
      </c>
      <c r="S81">
        <v>1082</v>
      </c>
      <c r="T81">
        <v>1323</v>
      </c>
      <c r="AI81">
        <v>1138</v>
      </c>
      <c r="AJ81">
        <v>1098</v>
      </c>
      <c r="AK81">
        <v>1399</v>
      </c>
      <c r="AL81">
        <v>1136.9259</v>
      </c>
      <c r="AM81">
        <v>1099.0896</v>
      </c>
      <c r="AN81">
        <v>1421.3842</v>
      </c>
      <c r="AO81">
        <f t="shared" si="3"/>
        <v>3</v>
      </c>
      <c r="AU81" cm="1">
        <f t="array" ref="AU81">IF($AO81="","", $AL81 - INDEX($AS$2:$AS$11,$AO81))</f>
        <v>-8.2286499999997886</v>
      </c>
      <c r="AV81" cm="1">
        <f t="array" ref="AV81">IF($AO81="","", $AM81 - INDEX($AT$2:$AT$11,$AO81))</f>
        <v>3.200192105263568</v>
      </c>
      <c r="AW81">
        <f t="shared" si="4"/>
        <v>-26.333260766976384</v>
      </c>
      <c r="BB81">
        <v>1138</v>
      </c>
      <c r="BC81">
        <v>1098</v>
      </c>
      <c r="BD81">
        <v>1398</v>
      </c>
      <c r="BE81">
        <v>1137.0592999999999</v>
      </c>
      <c r="BF81">
        <v>1098.2089000000001</v>
      </c>
      <c r="BG81">
        <v>1418.5655999999999</v>
      </c>
    </row>
    <row r="82" spans="1:59" x14ac:dyDescent="0.3">
      <c r="A82">
        <v>1163</v>
      </c>
      <c r="B82">
        <v>984</v>
      </c>
      <c r="C82">
        <v>1161.6949999999999</v>
      </c>
      <c r="D82">
        <v>974.90959999999995</v>
      </c>
      <c r="E82">
        <v>1088</v>
      </c>
      <c r="F82">
        <v>1090.7487000000001</v>
      </c>
      <c r="M82">
        <v>1106</v>
      </c>
      <c r="N82">
        <v>1067</v>
      </c>
      <c r="O82">
        <v>1093</v>
      </c>
      <c r="R82">
        <v>1139</v>
      </c>
      <c r="S82">
        <v>1081</v>
      </c>
      <c r="T82">
        <v>1197</v>
      </c>
      <c r="AI82">
        <v>1149</v>
      </c>
      <c r="AJ82">
        <v>1098</v>
      </c>
      <c r="AK82">
        <v>1310</v>
      </c>
      <c r="AL82">
        <v>1144.5676000000001</v>
      </c>
      <c r="AM82">
        <v>1099.3623</v>
      </c>
      <c r="AN82">
        <v>1332.9</v>
      </c>
      <c r="AO82">
        <f t="shared" si="3"/>
        <v>3</v>
      </c>
      <c r="AU82" cm="1">
        <f t="array" ref="AU82">IF($AO82="","", $AL82 - INDEX($AS$2:$AS$11,$AO82))</f>
        <v>-0.58694999999966058</v>
      </c>
      <c r="AV82" cm="1">
        <f t="array" ref="AV82">IF($AO82="","", $AM82 - INDEX($AT$2:$AT$11,$AO82))</f>
        <v>3.4728921052635542</v>
      </c>
      <c r="AW82">
        <f t="shared" si="4"/>
        <v>-2.0384140211832644</v>
      </c>
      <c r="BB82">
        <v>1147</v>
      </c>
      <c r="BC82">
        <v>1099</v>
      </c>
      <c r="BD82">
        <v>1308</v>
      </c>
      <c r="BE82">
        <v>1144.9001000000001</v>
      </c>
      <c r="BF82">
        <v>1098.4925000000001</v>
      </c>
      <c r="BG82">
        <v>1326.3065999999999</v>
      </c>
    </row>
    <row r="83" spans="1:59" x14ac:dyDescent="0.3">
      <c r="A83">
        <v>1166</v>
      </c>
      <c r="B83">
        <v>860</v>
      </c>
      <c r="C83">
        <v>1168.7818</v>
      </c>
      <c r="D83">
        <v>860.24350000000004</v>
      </c>
      <c r="E83">
        <v>1089</v>
      </c>
      <c r="F83">
        <v>1090.6216999999999</v>
      </c>
      <c r="M83">
        <v>1102</v>
      </c>
      <c r="N83">
        <v>1079</v>
      </c>
      <c r="O83">
        <v>1207</v>
      </c>
      <c r="R83">
        <v>1147</v>
      </c>
      <c r="S83">
        <v>1081</v>
      </c>
      <c r="T83" t="s">
        <v>30</v>
      </c>
      <c r="AI83">
        <v>1153</v>
      </c>
      <c r="AJ83">
        <v>1098</v>
      </c>
      <c r="AK83">
        <v>1210</v>
      </c>
      <c r="AL83">
        <v>1152.2647999999999</v>
      </c>
      <c r="AM83">
        <v>1099.5356999999999</v>
      </c>
      <c r="AN83">
        <v>1237.2753</v>
      </c>
      <c r="AO83">
        <f t="shared" si="3"/>
        <v>3</v>
      </c>
      <c r="AU83" cm="1">
        <f t="array" ref="AU83">IF($AO83="","", $AL83 - INDEX($AS$2:$AS$11,$AO83))</f>
        <v>7.1102500000001783</v>
      </c>
      <c r="AV83" cm="1">
        <f t="array" ref="AV83">IF($AO83="","", $AM83 - INDEX($AT$2:$AT$11,$AO83))</f>
        <v>3.6462921052634556</v>
      </c>
      <c r="AW83">
        <f t="shared" si="4"/>
        <v>25.926048441450135</v>
      </c>
      <c r="BB83">
        <v>1155</v>
      </c>
      <c r="BC83">
        <v>1098</v>
      </c>
      <c r="BD83">
        <v>1205</v>
      </c>
      <c r="BE83">
        <v>1152.7802999999999</v>
      </c>
      <c r="BF83">
        <v>1098.6794</v>
      </c>
      <c r="BG83">
        <v>1226.9199000000001</v>
      </c>
    </row>
    <row r="84" spans="1:59" x14ac:dyDescent="0.3">
      <c r="A84">
        <v>1174</v>
      </c>
      <c r="B84">
        <v>746</v>
      </c>
      <c r="C84">
        <v>1174.933</v>
      </c>
      <c r="D84">
        <v>751.95190000000002</v>
      </c>
      <c r="E84">
        <v>1089</v>
      </c>
      <c r="F84">
        <v>1090.3610000000001</v>
      </c>
      <c r="M84">
        <v>1092</v>
      </c>
      <c r="N84">
        <v>1079</v>
      </c>
      <c r="O84">
        <v>1383</v>
      </c>
      <c r="R84">
        <v>1161</v>
      </c>
      <c r="S84">
        <v>1080</v>
      </c>
      <c r="T84">
        <v>818</v>
      </c>
      <c r="AI84">
        <v>1162</v>
      </c>
      <c r="AJ84">
        <v>1099</v>
      </c>
      <c r="AK84">
        <v>1115</v>
      </c>
      <c r="AL84">
        <v>1159.7973</v>
      </c>
      <c r="AM84">
        <v>1099.6051</v>
      </c>
      <c r="AN84">
        <v>1137.2505000000001</v>
      </c>
      <c r="AO84">
        <f t="shared" si="3"/>
        <v>3</v>
      </c>
      <c r="AU84" cm="1">
        <f t="array" ref="AU84">IF($AO84="","", $AL84 - INDEX($AS$2:$AS$11,$AO84))</f>
        <v>14.642750000000206</v>
      </c>
      <c r="AV84" cm="1">
        <f t="array" ref="AV84">IF($AO84="","", $AM84 - INDEX($AT$2:$AT$11,$AO84))</f>
        <v>3.7156921052635425</v>
      </c>
      <c r="AW84">
        <f t="shared" si="4"/>
        <v>54.407950574348504</v>
      </c>
      <c r="BB84">
        <v>1159</v>
      </c>
      <c r="BC84">
        <v>1095</v>
      </c>
      <c r="BD84">
        <v>1107</v>
      </c>
      <c r="BE84">
        <v>1160.4745</v>
      </c>
      <c r="BF84">
        <v>1098.7646999999999</v>
      </c>
      <c r="BG84">
        <v>1123.2529</v>
      </c>
    </row>
    <row r="85" spans="1:59" x14ac:dyDescent="0.3">
      <c r="A85">
        <v>1180</v>
      </c>
      <c r="B85">
        <v>642</v>
      </c>
      <c r="C85">
        <v>1179.973</v>
      </c>
      <c r="D85">
        <v>653.13189999999997</v>
      </c>
      <c r="E85">
        <v>1089</v>
      </c>
      <c r="F85">
        <v>1089.9736</v>
      </c>
      <c r="M85">
        <v>1083</v>
      </c>
      <c r="N85">
        <v>1081</v>
      </c>
      <c r="O85">
        <v>1545</v>
      </c>
      <c r="R85">
        <v>1170</v>
      </c>
      <c r="S85">
        <v>1081</v>
      </c>
      <c r="T85">
        <v>708</v>
      </c>
      <c r="AI85">
        <v>1168</v>
      </c>
      <c r="AJ85">
        <v>1100</v>
      </c>
      <c r="AK85">
        <v>1016</v>
      </c>
      <c r="AL85">
        <v>1166.9492</v>
      </c>
      <c r="AM85">
        <v>1099.5688</v>
      </c>
      <c r="AN85">
        <v>1035.7028</v>
      </c>
      <c r="AO85">
        <f t="shared" si="3"/>
        <v>3</v>
      </c>
      <c r="AU85" cm="1">
        <f t="array" ref="AU85">IF($AO85="","", $AL85 - INDEX($AS$2:$AS$11,$AO85))</f>
        <v>21.794650000000274</v>
      </c>
      <c r="AV85" cm="1">
        <f t="array" ref="AV85">IF($AO85="","", $AM85 - INDEX($AT$2:$AT$11,$AO85))</f>
        <v>3.6793921052635596</v>
      </c>
      <c r="AW85">
        <f t="shared" si="4"/>
        <v>80.191063146983453</v>
      </c>
      <c r="BB85">
        <v>1168</v>
      </c>
      <c r="BC85">
        <v>1100</v>
      </c>
      <c r="BD85">
        <v>1009</v>
      </c>
      <c r="BE85">
        <v>1167.7619999999999</v>
      </c>
      <c r="BF85">
        <v>1098.7464</v>
      </c>
      <c r="BG85">
        <v>1018.2895</v>
      </c>
    </row>
    <row r="86" spans="1:59" x14ac:dyDescent="0.3">
      <c r="A86">
        <v>1183</v>
      </c>
      <c r="B86">
        <v>544</v>
      </c>
      <c r="C86">
        <v>1183.7574999999999</v>
      </c>
      <c r="D86">
        <v>566.61710000000005</v>
      </c>
      <c r="E86">
        <v>1090</v>
      </c>
      <c r="F86">
        <v>1089.4701</v>
      </c>
      <c r="M86">
        <v>1075</v>
      </c>
      <c r="N86">
        <v>1080</v>
      </c>
      <c r="O86">
        <v>1679</v>
      </c>
      <c r="R86">
        <v>1177</v>
      </c>
      <c r="S86">
        <v>1081</v>
      </c>
      <c r="T86">
        <v>596</v>
      </c>
      <c r="AI86">
        <v>1173</v>
      </c>
      <c r="AJ86">
        <v>1099</v>
      </c>
      <c r="AK86">
        <v>948</v>
      </c>
      <c r="AL86">
        <v>1173.5144</v>
      </c>
      <c r="AM86">
        <v>1099.4282000000001</v>
      </c>
      <c r="AN86">
        <v>935.56299999999999</v>
      </c>
      <c r="AO86">
        <f t="shared" si="3"/>
        <v>3</v>
      </c>
      <c r="AU86" cm="1">
        <f t="array" ref="AU86">IF($AO86="","", $AL86 - INDEX($AS$2:$AS$11,$AO86))</f>
        <v>28.359850000000279</v>
      </c>
      <c r="AV86" cm="1">
        <f t="array" ref="AV86">IF($AO86="","", $AM86 - INDEX($AT$2:$AT$11,$AO86))</f>
        <v>3.5387921052636102</v>
      </c>
      <c r="AW86">
        <f t="shared" si="4"/>
        <v>100.35961328646118</v>
      </c>
      <c r="BB86">
        <v>1175</v>
      </c>
      <c r="BC86">
        <v>1098</v>
      </c>
      <c r="BD86">
        <v>921</v>
      </c>
      <c r="BE86">
        <v>1174.4329</v>
      </c>
      <c r="BF86">
        <v>1098.6258</v>
      </c>
      <c r="BG86">
        <v>915.0634</v>
      </c>
    </row>
    <row r="87" spans="1:59" x14ac:dyDescent="0.3">
      <c r="A87">
        <v>1186</v>
      </c>
      <c r="B87">
        <v>464</v>
      </c>
      <c r="C87">
        <v>1186.1777999999999</v>
      </c>
      <c r="D87">
        <v>494.89519999999999</v>
      </c>
      <c r="E87">
        <v>1089</v>
      </c>
      <c r="F87">
        <v>1088.8643999999999</v>
      </c>
      <c r="M87">
        <v>1068</v>
      </c>
      <c r="N87">
        <v>1081</v>
      </c>
      <c r="O87">
        <v>1816</v>
      </c>
      <c r="R87">
        <v>1185</v>
      </c>
      <c r="S87">
        <v>1079</v>
      </c>
      <c r="T87">
        <v>494</v>
      </c>
      <c r="AI87">
        <v>1179</v>
      </c>
      <c r="AJ87">
        <v>1099</v>
      </c>
      <c r="AK87">
        <v>821</v>
      </c>
      <c r="AL87">
        <v>1179.3036</v>
      </c>
      <c r="AM87">
        <v>1099.1876</v>
      </c>
      <c r="AN87">
        <v>839.72879999999998</v>
      </c>
      <c r="AO87">
        <f t="shared" si="3"/>
        <v>3</v>
      </c>
      <c r="AU87" cm="1">
        <f t="array" ref="AU87">IF($AO87="","", $AL87 - INDEX($AS$2:$AS$11,$AO87))</f>
        <v>34.149050000000216</v>
      </c>
      <c r="AV87" cm="1">
        <f t="array" ref="AV87">IF($AO87="","", $AM87 - INDEX($AT$2:$AT$11,$AO87))</f>
        <v>3.2981921052635244</v>
      </c>
      <c r="AW87">
        <f t="shared" si="4"/>
        <v>112.63012711225007</v>
      </c>
      <c r="BB87">
        <v>1183</v>
      </c>
      <c r="BC87">
        <v>1099</v>
      </c>
      <c r="BD87">
        <v>797</v>
      </c>
      <c r="BE87">
        <v>1180.2944</v>
      </c>
      <c r="BF87">
        <v>1098.4069</v>
      </c>
      <c r="BG87">
        <v>816.56920000000002</v>
      </c>
    </row>
    <row r="88" spans="1:59" x14ac:dyDescent="0.3">
      <c r="A88">
        <v>1187</v>
      </c>
      <c r="B88">
        <v>411</v>
      </c>
      <c r="C88">
        <v>1187.1643999999999</v>
      </c>
      <c r="D88">
        <v>440.03530000000001</v>
      </c>
      <c r="E88">
        <v>1088</v>
      </c>
      <c r="F88">
        <v>1088.1732999999999</v>
      </c>
      <c r="M88">
        <v>1066</v>
      </c>
      <c r="N88">
        <v>1082</v>
      </c>
      <c r="O88">
        <v>1924</v>
      </c>
      <c r="R88">
        <v>1184</v>
      </c>
      <c r="S88">
        <v>1077</v>
      </c>
      <c r="T88">
        <v>410</v>
      </c>
      <c r="AI88">
        <v>1185</v>
      </c>
      <c r="AJ88">
        <v>1098</v>
      </c>
      <c r="AK88">
        <v>734</v>
      </c>
      <c r="AL88">
        <v>1184.1488999999999</v>
      </c>
      <c r="AM88">
        <v>1098.8542</v>
      </c>
      <c r="AN88">
        <v>750.98099999999999</v>
      </c>
      <c r="AO88">
        <f t="shared" si="3"/>
        <v>3</v>
      </c>
      <c r="AU88" cm="1">
        <f t="array" ref="AU88">IF($AO88="","", $AL88 - INDEX($AS$2:$AS$11,$AO88))</f>
        <v>38.994350000000168</v>
      </c>
      <c r="AV88" cm="1">
        <f t="array" ref="AV88">IF($AO88="","", $AM88 - INDEX($AT$2:$AT$11,$AO88))</f>
        <v>2.9647921052635411</v>
      </c>
      <c r="AW88">
        <f t="shared" si="4"/>
        <v>115.61014102988386</v>
      </c>
      <c r="BB88">
        <v>1185</v>
      </c>
      <c r="BC88">
        <v>1097</v>
      </c>
      <c r="BD88">
        <v>708</v>
      </c>
      <c r="BE88">
        <v>1185.1762000000001</v>
      </c>
      <c r="BF88">
        <v>1098.0967000000001</v>
      </c>
      <c r="BG88">
        <v>725.67510000000004</v>
      </c>
    </row>
    <row r="89" spans="1:59" x14ac:dyDescent="0.3">
      <c r="A89">
        <v>1183</v>
      </c>
      <c r="B89">
        <v>379</v>
      </c>
      <c r="C89">
        <v>1186.6886</v>
      </c>
      <c r="D89">
        <v>403.62759999999997</v>
      </c>
      <c r="E89">
        <v>1088</v>
      </c>
      <c r="F89">
        <v>1087.4161999999999</v>
      </c>
      <c r="M89">
        <v>1067</v>
      </c>
      <c r="N89">
        <v>1083</v>
      </c>
      <c r="O89" t="s">
        <v>11</v>
      </c>
      <c r="R89">
        <v>1186</v>
      </c>
      <c r="S89">
        <v>1080</v>
      </c>
      <c r="T89">
        <v>339</v>
      </c>
      <c r="AI89">
        <v>1184</v>
      </c>
      <c r="AJ89">
        <v>1098</v>
      </c>
      <c r="AK89">
        <v>663</v>
      </c>
      <c r="AL89">
        <v>1187.9093</v>
      </c>
      <c r="AM89">
        <v>1098.4376999999999</v>
      </c>
      <c r="AN89">
        <v>671.90060000000005</v>
      </c>
      <c r="AO89">
        <f t="shared" si="3"/>
        <v>3</v>
      </c>
      <c r="AU89" cm="1">
        <f t="array" ref="AU89">IF($AO89="","", $AL89 - INDEX($AS$2:$AS$11,$AO89))</f>
        <v>42.754750000000286</v>
      </c>
      <c r="AV89" cm="1">
        <f t="array" ref="AV89">IF($AO89="","", $AM89 - INDEX($AT$2:$AT$11,$AO89))</f>
        <v>2.5482921052634993</v>
      </c>
      <c r="AW89">
        <f t="shared" si="4"/>
        <v>108.95159188751532</v>
      </c>
      <c r="BB89">
        <v>1189</v>
      </c>
      <c r="BC89">
        <v>1095</v>
      </c>
      <c r="BD89">
        <v>631</v>
      </c>
      <c r="BE89">
        <v>1188.9356</v>
      </c>
      <c r="BF89">
        <v>1097.7049</v>
      </c>
      <c r="BG89">
        <v>645.03769999999997</v>
      </c>
    </row>
    <row r="90" spans="1:59" x14ac:dyDescent="0.3">
      <c r="A90">
        <v>1185</v>
      </c>
      <c r="B90">
        <v>371</v>
      </c>
      <c r="C90">
        <v>1184.7633000000001</v>
      </c>
      <c r="D90">
        <v>386.73590000000002</v>
      </c>
      <c r="E90">
        <v>1086</v>
      </c>
      <c r="F90">
        <v>1086.6142</v>
      </c>
      <c r="M90">
        <v>1065</v>
      </c>
      <c r="N90">
        <v>1085</v>
      </c>
      <c r="O90">
        <v>2065</v>
      </c>
      <c r="R90">
        <v>1187</v>
      </c>
      <c r="S90">
        <v>1078</v>
      </c>
      <c r="T90">
        <v>298</v>
      </c>
      <c r="AI90">
        <v>1192</v>
      </c>
      <c r="AJ90">
        <v>1097</v>
      </c>
      <c r="AK90">
        <v>586</v>
      </c>
      <c r="AL90">
        <v>1190.4748</v>
      </c>
      <c r="AM90">
        <v>1097.9503</v>
      </c>
      <c r="AN90">
        <v>604.79369999999994</v>
      </c>
      <c r="AO90">
        <f t="shared" si="3"/>
        <v>3</v>
      </c>
      <c r="AU90" cm="1">
        <f t="array" ref="AU90">IF($AO90="","", $AL90 - INDEX($AS$2:$AS$11,$AO90))</f>
        <v>45.320250000000215</v>
      </c>
      <c r="AV90" cm="1">
        <f t="array" ref="AV90">IF($AO90="","", $AM90 - INDEX($AT$2:$AT$11,$AO90))</f>
        <v>2.0608921052635196</v>
      </c>
      <c r="AW90">
        <f t="shared" si="4"/>
        <v>93.400145433569463</v>
      </c>
      <c r="BB90">
        <v>1193</v>
      </c>
      <c r="BC90">
        <v>1095</v>
      </c>
      <c r="BD90">
        <v>558</v>
      </c>
      <c r="BE90">
        <v>1191.462</v>
      </c>
      <c r="BF90">
        <v>1097.2431999999999</v>
      </c>
      <c r="BG90">
        <v>577.02430000000004</v>
      </c>
    </row>
    <row r="91" spans="1:59" x14ac:dyDescent="0.3">
      <c r="A91" s="1">
        <v>1182</v>
      </c>
      <c r="B91" s="1">
        <v>382</v>
      </c>
      <c r="C91" s="1">
        <v>1181.4431</v>
      </c>
      <c r="D91" s="1">
        <v>389.8664</v>
      </c>
      <c r="E91">
        <v>1085</v>
      </c>
      <c r="F91" s="1">
        <v>1085.7899</v>
      </c>
      <c r="H91" t="s">
        <v>37</v>
      </c>
      <c r="I91" t="s">
        <v>38</v>
      </c>
      <c r="M91">
        <v>1067</v>
      </c>
      <c r="N91">
        <v>1085</v>
      </c>
      <c r="O91">
        <v>2067</v>
      </c>
      <c r="R91">
        <v>1182</v>
      </c>
      <c r="S91">
        <v>1077</v>
      </c>
      <c r="T91">
        <v>277</v>
      </c>
      <c r="AI91">
        <v>1192</v>
      </c>
      <c r="AJ91">
        <v>1098</v>
      </c>
      <c r="AK91">
        <v>529</v>
      </c>
      <c r="AL91">
        <v>1191.7693999999999</v>
      </c>
      <c r="AM91">
        <v>1097.4061999999999</v>
      </c>
      <c r="AN91">
        <v>551.62260000000003</v>
      </c>
      <c r="AO91">
        <f t="shared" si="3"/>
        <v>3</v>
      </c>
      <c r="AU91" cm="1">
        <f t="array" ref="AU91">IF($AO91="","", $AL91 - INDEX($AS$2:$AS$11,$AO91))</f>
        <v>46.61485000000016</v>
      </c>
      <c r="AV91" cm="1">
        <f t="array" ref="AV91">IF($AO91="","", $AM91 - INDEX($AT$2:$AT$11,$AO91))</f>
        <v>1.5167921052634483</v>
      </c>
      <c r="AW91">
        <f t="shared" si="4"/>
        <v>70.705036468040092</v>
      </c>
      <c r="BB91">
        <v>1193</v>
      </c>
      <c r="BC91">
        <v>1095</v>
      </c>
      <c r="BD91">
        <v>497</v>
      </c>
      <c r="BE91">
        <v>1192.6795</v>
      </c>
      <c r="BF91">
        <v>1096.7256</v>
      </c>
      <c r="BG91">
        <v>523.64210000000003</v>
      </c>
    </row>
    <row r="92" spans="1:59" x14ac:dyDescent="0.3">
      <c r="A92">
        <v>1181</v>
      </c>
      <c r="B92">
        <v>404</v>
      </c>
      <c r="C92">
        <v>1176.8225</v>
      </c>
      <c r="D92">
        <v>412.9513</v>
      </c>
      <c r="E92">
        <v>1084</v>
      </c>
      <c r="F92">
        <v>1084.9663</v>
      </c>
      <c r="H92" s="1">
        <v>1179.6246000000001</v>
      </c>
      <c r="I92" s="1">
        <v>425.68110000000001</v>
      </c>
      <c r="M92">
        <v>1071</v>
      </c>
      <c r="N92">
        <v>1088</v>
      </c>
      <c r="O92">
        <v>2040</v>
      </c>
      <c r="R92">
        <v>1181</v>
      </c>
      <c r="S92">
        <v>1075</v>
      </c>
      <c r="T92">
        <v>283</v>
      </c>
      <c r="AI92">
        <v>1192</v>
      </c>
      <c r="AJ92">
        <v>1095</v>
      </c>
      <c r="AK92">
        <v>487</v>
      </c>
      <c r="AL92">
        <v>1191.7534000000001</v>
      </c>
      <c r="AM92">
        <v>1096.8208</v>
      </c>
      <c r="AN92">
        <v>513.94809999999995</v>
      </c>
      <c r="AO92">
        <f t="shared" si="3"/>
        <v>3</v>
      </c>
      <c r="AU92" cm="1">
        <f t="array" ref="AU92">IF($AO92="","", $AL92 - INDEX($AS$2:$AS$11,$AO92))</f>
        <v>46.598850000000311</v>
      </c>
      <c r="AV92" cm="1">
        <f t="array" ref="AV92">IF($AO92="","", $AM92 - INDEX($AT$2:$AT$11,$AO92))</f>
        <v>0.93139210526351235</v>
      </c>
      <c r="AW92">
        <f t="shared" si="4"/>
        <v>43.401801004358916</v>
      </c>
      <c r="BB92">
        <v>1193</v>
      </c>
      <c r="BC92">
        <v>1096</v>
      </c>
      <c r="BD92">
        <v>464</v>
      </c>
      <c r="BE92">
        <v>1192.5500999999999</v>
      </c>
      <c r="BF92">
        <v>1096.1677</v>
      </c>
      <c r="BG92">
        <v>486.47859999999997</v>
      </c>
    </row>
    <row r="93" spans="1:59" x14ac:dyDescent="0.3">
      <c r="A93">
        <v>1171</v>
      </c>
      <c r="B93">
        <v>431</v>
      </c>
      <c r="C93">
        <v>1171.0332000000001</v>
      </c>
      <c r="D93">
        <v>455.34969999999998</v>
      </c>
      <c r="E93">
        <v>1081</v>
      </c>
      <c r="F93">
        <v>1084.1665</v>
      </c>
      <c r="H93">
        <v>1174.7909</v>
      </c>
      <c r="I93">
        <v>454.0489</v>
      </c>
      <c r="M93">
        <v>1080</v>
      </c>
      <c r="N93">
        <v>1087</v>
      </c>
      <c r="O93">
        <v>1987</v>
      </c>
      <c r="R93" t="s">
        <v>31</v>
      </c>
      <c r="S93">
        <v>1077</v>
      </c>
      <c r="T93">
        <v>308</v>
      </c>
      <c r="AI93">
        <v>1190</v>
      </c>
      <c r="AJ93">
        <v>1096</v>
      </c>
      <c r="AK93">
        <v>469</v>
      </c>
      <c r="AL93">
        <v>1190.4250999999999</v>
      </c>
      <c r="AM93">
        <v>1096.2111</v>
      </c>
      <c r="AN93">
        <v>492.88299999999998</v>
      </c>
      <c r="AO93">
        <f t="shared" si="3"/>
        <v>3</v>
      </c>
      <c r="AU93" cm="1">
        <f t="array" ref="AU93">IF($AO93="","", $AL93 - INDEX($AS$2:$AS$11,$AO93))</f>
        <v>45.270550000000185</v>
      </c>
      <c r="AV93" cm="1">
        <f t="array" ref="AV93">IF($AO93="","", $AM93 - INDEX($AT$2:$AT$11,$AO93))</f>
        <v>0.32169210526353709</v>
      </c>
      <c r="AW93">
        <f t="shared" si="4"/>
        <v>14.563178535938277</v>
      </c>
      <c r="BB93">
        <v>1192</v>
      </c>
      <c r="BC93">
        <v>1096</v>
      </c>
      <c r="BD93">
        <v>446</v>
      </c>
      <c r="BE93">
        <v>1191.0740000000001</v>
      </c>
      <c r="BF93">
        <v>1095.5859</v>
      </c>
      <c r="BG93">
        <v>466.654</v>
      </c>
    </row>
    <row r="94" spans="1:59" x14ac:dyDescent="0.3">
      <c r="A94">
        <v>1166</v>
      </c>
      <c r="B94">
        <v>479</v>
      </c>
      <c r="C94">
        <v>1164.2403999999999</v>
      </c>
      <c r="D94">
        <v>515.8646</v>
      </c>
      <c r="E94">
        <v>1082</v>
      </c>
      <c r="F94">
        <v>1083.4129</v>
      </c>
      <c r="H94">
        <v>1168.8432</v>
      </c>
      <c r="I94">
        <v>500.36680000000001</v>
      </c>
      <c r="M94">
        <v>1090</v>
      </c>
      <c r="N94" t="s">
        <v>12</v>
      </c>
      <c r="R94">
        <v>1170</v>
      </c>
      <c r="S94">
        <v>1073</v>
      </c>
      <c r="T94">
        <v>349</v>
      </c>
      <c r="AI94">
        <v>1187</v>
      </c>
      <c r="AJ94">
        <v>1095</v>
      </c>
      <c r="AK94">
        <v>471</v>
      </c>
      <c r="AL94">
        <v>1187.8203000000001</v>
      </c>
      <c r="AM94">
        <v>1095.5942</v>
      </c>
      <c r="AN94">
        <v>489.05860000000001</v>
      </c>
      <c r="AO94">
        <f t="shared" si="3"/>
        <v>3</v>
      </c>
      <c r="AU94" cm="1">
        <f t="array" ref="AU94">IF($AO94="","", $AL94 - INDEX($AS$2:$AS$11,$AO94))</f>
        <v>42.665750000000344</v>
      </c>
      <c r="AV94" cm="1">
        <f t="array" ref="AV94">IF($AO94="","", $AM94 - INDEX($AT$2:$AT$11,$AO94))</f>
        <v>-0.29520789473644982</v>
      </c>
      <c r="AW94">
        <f t="shared" si="4"/>
        <v>-12.595266234851785</v>
      </c>
      <c r="BB94">
        <v>1185</v>
      </c>
      <c r="BC94">
        <v>1095</v>
      </c>
      <c r="BD94">
        <v>452</v>
      </c>
      <c r="BE94">
        <v>1188.2906</v>
      </c>
      <c r="BF94">
        <v>1094.9975999999999</v>
      </c>
      <c r="BG94">
        <v>464.78680000000003</v>
      </c>
    </row>
    <row r="95" spans="1:59" x14ac:dyDescent="0.3">
      <c r="A95">
        <v>1161</v>
      </c>
      <c r="B95">
        <v>549</v>
      </c>
      <c r="C95">
        <v>1156.6384</v>
      </c>
      <c r="D95">
        <v>592.77710000000002</v>
      </c>
      <c r="E95">
        <v>1082</v>
      </c>
      <c r="F95">
        <v>1082.7264</v>
      </c>
      <c r="H95">
        <v>1161.9486999999999</v>
      </c>
      <c r="I95">
        <v>563.41070000000002</v>
      </c>
      <c r="M95">
        <v>1101</v>
      </c>
      <c r="N95">
        <v>1087</v>
      </c>
      <c r="O95">
        <v>1814</v>
      </c>
      <c r="R95">
        <v>1163</v>
      </c>
      <c r="S95">
        <v>1075</v>
      </c>
      <c r="T95">
        <v>410</v>
      </c>
      <c r="AI95">
        <v>1186</v>
      </c>
      <c r="AJ95">
        <v>1094</v>
      </c>
      <c r="AK95">
        <v>490</v>
      </c>
      <c r="AL95">
        <v>1184.0119</v>
      </c>
      <c r="AM95">
        <v>1094.9876999999999</v>
      </c>
      <c r="AN95">
        <v>502.60550000000001</v>
      </c>
      <c r="AO95">
        <f t="shared" si="3"/>
        <v>3</v>
      </c>
      <c r="AU95" cm="1">
        <f t="array" ref="AU95">IF($AO95="","", $AL95 - INDEX($AS$2:$AS$11,$AO95))</f>
        <v>38.857350000000224</v>
      </c>
      <c r="AV95" cm="1">
        <f t="array" ref="AV95">IF($AO95="","", $AM95 - INDEX($AT$2:$AT$11,$AO95))</f>
        <v>-0.90170789473654622</v>
      </c>
      <c r="AW95">
        <f t="shared" si="4"/>
        <v>-35.037979263541338</v>
      </c>
      <c r="BB95">
        <v>1184</v>
      </c>
      <c r="BC95">
        <v>1093</v>
      </c>
      <c r="BD95">
        <v>478</v>
      </c>
      <c r="BE95">
        <v>1184.2768000000001</v>
      </c>
      <c r="BF95">
        <v>1094.42</v>
      </c>
      <c r="BG95">
        <v>480.97460000000001</v>
      </c>
    </row>
    <row r="96" spans="1:59" x14ac:dyDescent="0.3">
      <c r="A96">
        <v>1154</v>
      </c>
      <c r="B96">
        <v>631</v>
      </c>
      <c r="C96">
        <v>1148.4445000000001</v>
      </c>
      <c r="D96">
        <v>683.89400000000001</v>
      </c>
      <c r="E96">
        <v>1082</v>
      </c>
      <c r="F96">
        <v>1082.1259</v>
      </c>
      <c r="H96">
        <v>1154.3019999999999</v>
      </c>
      <c r="I96">
        <v>641.48130000000003</v>
      </c>
      <c r="M96">
        <v>1109</v>
      </c>
      <c r="N96">
        <v>1090</v>
      </c>
      <c r="O96">
        <v>1695</v>
      </c>
      <c r="R96">
        <v>1155</v>
      </c>
      <c r="S96">
        <v>1075</v>
      </c>
      <c r="T96">
        <v>483</v>
      </c>
      <c r="AI96">
        <v>1179</v>
      </c>
      <c r="AJ96">
        <v>1096</v>
      </c>
      <c r="AK96">
        <v>530</v>
      </c>
      <c r="AL96">
        <v>1179.1075000000001</v>
      </c>
      <c r="AM96">
        <v>1094.4086</v>
      </c>
      <c r="AN96">
        <v>533.14909999999998</v>
      </c>
      <c r="AO96">
        <f t="shared" si="3"/>
        <v>3</v>
      </c>
      <c r="AU96" cm="1">
        <f t="array" ref="AU96">IF($AO96="","", $AL96 - INDEX($AS$2:$AS$11,$AO96))</f>
        <v>33.952950000000328</v>
      </c>
      <c r="AV96" cm="1">
        <f t="array" ref="AV96">IF($AO96="","", $AM96 - INDEX($AT$2:$AT$11,$AO96))</f>
        <v>-1.480807894736472</v>
      </c>
      <c r="AW96">
        <f t="shared" si="4"/>
        <v>-50.277796409593186</v>
      </c>
      <c r="BB96">
        <v>1180</v>
      </c>
      <c r="BC96">
        <v>1094</v>
      </c>
      <c r="BD96">
        <v>517</v>
      </c>
      <c r="BE96">
        <v>1179.1451999999999</v>
      </c>
      <c r="BF96">
        <v>1093.8702000000001</v>
      </c>
      <c r="BG96">
        <v>514.79010000000005</v>
      </c>
    </row>
    <row r="97" spans="1:59" x14ac:dyDescent="0.3">
      <c r="A97">
        <v>1143</v>
      </c>
      <c r="B97">
        <v>733</v>
      </c>
      <c r="C97">
        <v>1139.8932</v>
      </c>
      <c r="D97">
        <v>786.61090000000002</v>
      </c>
      <c r="E97">
        <v>1079</v>
      </c>
      <c r="F97">
        <v>1081.6279</v>
      </c>
      <c r="H97">
        <v>1146.1188</v>
      </c>
      <c r="I97">
        <v>732.44979999999998</v>
      </c>
      <c r="M97">
        <v>1122</v>
      </c>
      <c r="N97">
        <v>1089</v>
      </c>
      <c r="O97">
        <v>1560</v>
      </c>
      <c r="AI97">
        <v>1171</v>
      </c>
      <c r="AJ97">
        <v>1091</v>
      </c>
      <c r="AK97">
        <v>575</v>
      </c>
      <c r="AL97">
        <v>1173.2463</v>
      </c>
      <c r="AM97">
        <v>1093.8729000000001</v>
      </c>
      <c r="AN97">
        <v>579.8202</v>
      </c>
      <c r="AO97">
        <f t="shared" si="3"/>
        <v>3</v>
      </c>
      <c r="AU97" cm="1">
        <f t="array" ref="AU97">IF($AO97="","", $AL97 - INDEX($AS$2:$AS$11,$AO97))</f>
        <v>28.091750000000275</v>
      </c>
      <c r="AV97" cm="1">
        <f t="array" ref="AV97">IF($AO97="","", $AM97 - INDEX($AT$2:$AT$11,$AO97))</f>
        <v>-2.0165078947363781</v>
      </c>
      <c r="AW97">
        <f t="shared" si="4"/>
        <v>-56.647235651961203</v>
      </c>
      <c r="BB97">
        <v>1175</v>
      </c>
      <c r="BC97">
        <v>1093</v>
      </c>
      <c r="BD97">
        <v>566</v>
      </c>
      <c r="BE97">
        <v>1173.0408</v>
      </c>
      <c r="BF97">
        <v>1093.3641</v>
      </c>
      <c r="BG97">
        <v>565.2921</v>
      </c>
    </row>
    <row r="98" spans="1:59" x14ac:dyDescent="0.3">
      <c r="A98">
        <v>1135</v>
      </c>
      <c r="B98">
        <v>942</v>
      </c>
      <c r="C98">
        <v>1131.2293</v>
      </c>
      <c r="D98">
        <v>897.98659999999995</v>
      </c>
      <c r="E98">
        <v>1081</v>
      </c>
      <c r="F98">
        <v>1081.2458999999999</v>
      </c>
      <c r="H98">
        <v>1137.6306</v>
      </c>
      <c r="I98">
        <v>833.81420000000003</v>
      </c>
      <c r="M98">
        <v>1134</v>
      </c>
      <c r="N98">
        <v>1090</v>
      </c>
      <c r="O98">
        <v>1410</v>
      </c>
      <c r="AI98">
        <v>1167</v>
      </c>
      <c r="AJ98">
        <v>1094</v>
      </c>
      <c r="AK98">
        <v>631</v>
      </c>
      <c r="AL98">
        <v>1166.5956000000001</v>
      </c>
      <c r="AM98">
        <v>1093.3955000000001</v>
      </c>
      <c r="AN98">
        <v>641.27940000000001</v>
      </c>
      <c r="AO98">
        <f t="shared" si="3"/>
        <v>3</v>
      </c>
      <c r="AU98" cm="1">
        <f t="array" ref="AU98">IF($AO98="","", $AL98 - INDEX($AS$2:$AS$11,$AO98))</f>
        <v>21.441050000000359</v>
      </c>
      <c r="AV98" cm="1">
        <f t="array" ref="AV98">IF($AO98="","", $AM98 - INDEX($AT$2:$AT$11,$AO98))</f>
        <v>-2.4939078947363669</v>
      </c>
      <c r="AW98">
        <f t="shared" si="4"/>
        <v>-53.472003866438072</v>
      </c>
      <c r="BB98">
        <v>1163</v>
      </c>
      <c r="BC98">
        <v>1091</v>
      </c>
      <c r="BD98">
        <v>630</v>
      </c>
      <c r="BE98">
        <v>1166.1369999999999</v>
      </c>
      <c r="BF98">
        <v>1092.9166</v>
      </c>
      <c r="BG98">
        <v>631.05200000000002</v>
      </c>
    </row>
    <row r="99" spans="1:59" x14ac:dyDescent="0.3">
      <c r="A99">
        <v>1115</v>
      </c>
      <c r="B99">
        <v>1020</v>
      </c>
      <c r="C99">
        <v>1122.701</v>
      </c>
      <c r="D99">
        <v>1014.827</v>
      </c>
      <c r="E99">
        <v>1080</v>
      </c>
      <c r="F99">
        <v>1080.9898000000001</v>
      </c>
      <c r="H99">
        <v>1129.0777</v>
      </c>
      <c r="I99">
        <v>942.76819999999998</v>
      </c>
      <c r="AI99">
        <v>1158</v>
      </c>
      <c r="AJ99">
        <v>1091</v>
      </c>
      <c r="AK99">
        <v>701</v>
      </c>
      <c r="AL99">
        <v>1159.3454999999999</v>
      </c>
      <c r="AM99">
        <v>1092.9892</v>
      </c>
      <c r="AN99">
        <v>715.75609999999995</v>
      </c>
      <c r="AO99">
        <f t="shared" si="3"/>
        <v>3</v>
      </c>
      <c r="AU99" cm="1">
        <f t="array" ref="AU99">IF($AO99="","", $AL99 - INDEX($AS$2:$AS$11,$AO99))</f>
        <v>14.190950000000157</v>
      </c>
      <c r="AV99" cm="1">
        <f t="array" ref="AV99">IF($AO99="","", $AM99 - INDEX($AT$2:$AT$11,$AO99))</f>
        <v>-2.900207894736468</v>
      </c>
      <c r="AW99">
        <f t="shared" si="4"/>
        <v>-41.156705223810938</v>
      </c>
      <c r="BB99">
        <v>1158</v>
      </c>
      <c r="BC99">
        <v>1091</v>
      </c>
      <c r="BD99">
        <v>703</v>
      </c>
      <c r="BE99">
        <v>1158.6306999999999</v>
      </c>
      <c r="BF99">
        <v>1092.5407</v>
      </c>
      <c r="BG99">
        <v>710.19460000000004</v>
      </c>
    </row>
    <row r="100" spans="1:59" x14ac:dyDescent="0.3">
      <c r="A100">
        <v>1109</v>
      </c>
      <c r="B100">
        <v>1175</v>
      </c>
      <c r="C100">
        <v>1114.5526</v>
      </c>
      <c r="D100">
        <v>1133.7775999999999</v>
      </c>
      <c r="E100">
        <v>1081</v>
      </c>
      <c r="F100">
        <v>1080.8661</v>
      </c>
      <c r="H100">
        <v>1120.7027</v>
      </c>
      <c r="I100">
        <v>1056.2779</v>
      </c>
      <c r="AI100">
        <v>1152</v>
      </c>
      <c r="AJ100">
        <v>1093</v>
      </c>
      <c r="AK100">
        <v>781</v>
      </c>
      <c r="AL100">
        <v>1151.7036000000001</v>
      </c>
      <c r="AM100">
        <v>1092.6650999999999</v>
      </c>
      <c r="AN100">
        <v>801.09979999999996</v>
      </c>
      <c r="AO100">
        <f t="shared" si="3"/>
        <v>3</v>
      </c>
      <c r="AU100" cm="1">
        <f t="array" ref="AU100">IF($AO100="","", $AL100 - INDEX($AS$2:$AS$11,$AO100))</f>
        <v>6.5490500000003067</v>
      </c>
      <c r="AV100" cm="1">
        <f t="array" ref="AV100">IF($AO100="","", $AM100 - INDEX($AT$2:$AT$11,$AO100))</f>
        <v>-3.224307894736512</v>
      </c>
      <c r="AW100">
        <f t="shared" si="4"/>
        <v>-21.116153618025145</v>
      </c>
      <c r="BB100">
        <v>1153</v>
      </c>
      <c r="BC100">
        <v>1093</v>
      </c>
      <c r="BD100">
        <v>784</v>
      </c>
      <c r="BE100">
        <v>1150.7366</v>
      </c>
      <c r="BF100">
        <v>1092.2473</v>
      </c>
      <c r="BG100">
        <v>800.45180000000005</v>
      </c>
    </row>
    <row r="101" spans="1:59" x14ac:dyDescent="0.3">
      <c r="A101">
        <v>1105</v>
      </c>
      <c r="B101">
        <v>1295</v>
      </c>
      <c r="C101">
        <v>1107.0179000000001</v>
      </c>
      <c r="D101">
        <v>1251.4196999999999</v>
      </c>
      <c r="E101">
        <v>1081</v>
      </c>
      <c r="F101">
        <v>1080.8771999999999</v>
      </c>
      <c r="H101">
        <v>1112.7431999999999</v>
      </c>
      <c r="I101">
        <v>1171.1668999999999</v>
      </c>
      <c r="AI101">
        <v>1143</v>
      </c>
      <c r="AJ101">
        <v>1092</v>
      </c>
      <c r="AK101">
        <v>866</v>
      </c>
      <c r="AL101">
        <v>1143.8889999999999</v>
      </c>
      <c r="AM101">
        <v>1092.4313999999999</v>
      </c>
      <c r="AN101">
        <v>894.84280000000001</v>
      </c>
      <c r="AO101">
        <f t="shared" si="3"/>
        <v>3</v>
      </c>
      <c r="AU101" cm="1">
        <f t="array" ref="AU101">IF($AO101="","", $AL101 - INDEX($AS$2:$AS$11,$AO101))</f>
        <v>-1.2655499999998483</v>
      </c>
      <c r="AV101" cm="1">
        <f t="array" ref="AV101">IF($AO101="","", $AM101 - INDEX($AT$2:$AT$11,$AO101))</f>
        <v>-3.4580078947365109</v>
      </c>
      <c r="AW101">
        <f t="shared" si="4"/>
        <v>4.3762818911832664</v>
      </c>
      <c r="BB101">
        <v>1142</v>
      </c>
      <c r="BC101">
        <v>1093</v>
      </c>
      <c r="BD101">
        <v>876</v>
      </c>
      <c r="BE101">
        <v>1142.6808000000001</v>
      </c>
      <c r="BF101">
        <v>1092.0449000000001</v>
      </c>
      <c r="BG101">
        <v>899.22860000000003</v>
      </c>
    </row>
    <row r="102" spans="1:59" x14ac:dyDescent="0.3">
      <c r="A102">
        <v>1096</v>
      </c>
      <c r="B102">
        <v>1400</v>
      </c>
      <c r="C102">
        <v>1100.3126999999999</v>
      </c>
      <c r="D102">
        <v>1364.3692000000001</v>
      </c>
      <c r="E102">
        <v>1080</v>
      </c>
      <c r="F102">
        <v>1081.0217</v>
      </c>
      <c r="H102">
        <v>1105.4257</v>
      </c>
      <c r="I102">
        <v>1284.2045000000001</v>
      </c>
      <c r="AI102">
        <v>1138</v>
      </c>
      <c r="AJ102">
        <v>1091</v>
      </c>
      <c r="AK102">
        <v>960</v>
      </c>
      <c r="AL102">
        <v>1136.1261</v>
      </c>
      <c r="AM102">
        <v>1092.2940000000001</v>
      </c>
      <c r="AN102">
        <v>994.27160000000003</v>
      </c>
      <c r="AO102">
        <f t="shared" si="3"/>
        <v>3</v>
      </c>
      <c r="AU102" cm="1">
        <f t="array" ref="AU102">IF($AO102="","", $AL102 - INDEX($AS$2:$AS$11,$AO102))</f>
        <v>-9.0284499999997934</v>
      </c>
      <c r="AV102" cm="1">
        <f t="array" ref="AV102">IF($AO102="","", $AM102 - INDEX($AT$2:$AT$11,$AO102))</f>
        <v>-3.5954078947363541</v>
      </c>
      <c r="AW102">
        <f t="shared" si="4"/>
        <v>32.460960407231696</v>
      </c>
      <c r="BB102">
        <v>1135</v>
      </c>
      <c r="BC102">
        <v>1092</v>
      </c>
      <c r="BD102">
        <v>976</v>
      </c>
      <c r="BE102">
        <v>1134.6947</v>
      </c>
      <c r="BF102">
        <v>1091.9392</v>
      </c>
      <c r="BG102">
        <v>1003.6778</v>
      </c>
    </row>
    <row r="103" spans="1:59" x14ac:dyDescent="0.3">
      <c r="A103">
        <v>1090</v>
      </c>
      <c r="B103">
        <v>1514</v>
      </c>
      <c r="C103">
        <v>1094.6294</v>
      </c>
      <c r="D103">
        <v>1469.3742999999999</v>
      </c>
      <c r="E103">
        <v>1082</v>
      </c>
      <c r="F103">
        <v>1081.2944</v>
      </c>
      <c r="H103">
        <v>1098.9585999999999</v>
      </c>
      <c r="I103">
        <v>1392.1976999999999</v>
      </c>
      <c r="AI103">
        <v>1130</v>
      </c>
      <c r="AJ103">
        <v>1091</v>
      </c>
      <c r="AK103">
        <v>1152</v>
      </c>
      <c r="AL103">
        <v>1128.6379999999999</v>
      </c>
      <c r="AM103">
        <v>1092.2556999999999</v>
      </c>
      <c r="AN103">
        <v>1096.5064</v>
      </c>
      <c r="AO103">
        <f t="shared" si="3"/>
        <v>3</v>
      </c>
      <c r="AU103" cm="1">
        <f t="array" ref="AU103">IF($AO103="","", $AL103 - INDEX($AS$2:$AS$11,$AO103))</f>
        <v>-16.516549999999825</v>
      </c>
      <c r="AV103" cm="1">
        <f t="array" ref="AV103">IF($AO103="","", $AM103 - INDEX($AT$2:$AT$11,$AO103))</f>
        <v>-3.6337078947365171</v>
      </c>
      <c r="AW103">
        <f t="shared" si="4"/>
        <v>60.016318128809786</v>
      </c>
      <c r="BB103">
        <v>1128</v>
      </c>
      <c r="BC103">
        <v>1092</v>
      </c>
      <c r="BD103">
        <v>1078</v>
      </c>
      <c r="BE103">
        <v>1127.0081</v>
      </c>
      <c r="BF103">
        <v>1091.9331999999999</v>
      </c>
      <c r="BG103">
        <v>1110.7831000000001</v>
      </c>
    </row>
    <row r="104" spans="1:59" x14ac:dyDescent="0.3">
      <c r="A104">
        <v>1088</v>
      </c>
      <c r="B104">
        <v>1611</v>
      </c>
      <c r="C104">
        <v>1090.1311000000001</v>
      </c>
      <c r="D104">
        <v>1563.4096</v>
      </c>
      <c r="E104">
        <v>1083</v>
      </c>
      <c r="F104">
        <v>1081.6863000000001</v>
      </c>
      <c r="H104">
        <v>1093.5264999999999</v>
      </c>
      <c r="I104">
        <v>1492.0811000000001</v>
      </c>
      <c r="AI104">
        <v>1113</v>
      </c>
      <c r="AJ104">
        <v>1088</v>
      </c>
      <c r="AK104">
        <v>1221</v>
      </c>
      <c r="AL104">
        <v>1121.6398999999999</v>
      </c>
      <c r="AM104">
        <v>1092.3167000000001</v>
      </c>
      <c r="AN104">
        <v>1198.5851</v>
      </c>
      <c r="AO104">
        <f t="shared" si="3"/>
        <v>3</v>
      </c>
      <c r="AU104" cm="1">
        <f t="array" ref="AU104">IF($AO104="","", $AL104 - INDEX($AS$2:$AS$11,$AO104))</f>
        <v>-23.514649999999847</v>
      </c>
      <c r="AV104" cm="1">
        <f t="array" ref="AV104">IF($AO104="","", $AM104 - INDEX($AT$2:$AT$11,$AO104))</f>
        <v>-3.572707894736368</v>
      </c>
      <c r="AW104">
        <f t="shared" si="4"/>
        <v>84.010975696961992</v>
      </c>
      <c r="BB104">
        <v>1112</v>
      </c>
      <c r="BC104">
        <v>1091</v>
      </c>
      <c r="BD104">
        <v>1261</v>
      </c>
      <c r="BE104">
        <v>1119.8425</v>
      </c>
      <c r="BF104">
        <v>1092.027</v>
      </c>
      <c r="BG104">
        <v>1217.4466</v>
      </c>
    </row>
    <row r="105" spans="1:59" x14ac:dyDescent="0.3">
      <c r="A105">
        <v>1085</v>
      </c>
      <c r="B105">
        <v>1685</v>
      </c>
      <c r="C105">
        <v>1086.9467</v>
      </c>
      <c r="D105">
        <v>1643.7641000000001</v>
      </c>
      <c r="E105">
        <v>1081</v>
      </c>
      <c r="F105">
        <v>1082.1849</v>
      </c>
      <c r="H105">
        <v>1089.2849000000001</v>
      </c>
      <c r="I105">
        <v>1581.0053</v>
      </c>
      <c r="AI105">
        <v>1110</v>
      </c>
      <c r="AJ105">
        <v>1091</v>
      </c>
      <c r="AK105">
        <v>1355</v>
      </c>
      <c r="AL105">
        <v>1115.3333</v>
      </c>
      <c r="AM105">
        <v>1092.4742000000001</v>
      </c>
      <c r="AN105">
        <v>1297.5491999999999</v>
      </c>
      <c r="AO105">
        <f t="shared" si="3"/>
        <v>3</v>
      </c>
      <c r="AU105" cm="1">
        <f t="array" ref="AU105">IF($AO105="","", $AL105 - INDEX($AS$2:$AS$11,$AO105))</f>
        <v>-29.821249999999736</v>
      </c>
      <c r="AV105" cm="1">
        <f t="array" ref="AV105">IF($AO105="","", $AM105 - INDEX($AT$2:$AT$11,$AO105))</f>
        <v>-3.4152078947363407</v>
      </c>
      <c r="AW105">
        <f t="shared" si="4"/>
        <v>101.8457684309052</v>
      </c>
      <c r="BB105">
        <v>1108</v>
      </c>
      <c r="BC105">
        <v>1091</v>
      </c>
      <c r="BD105">
        <v>1386</v>
      </c>
      <c r="BE105">
        <v>1113.405</v>
      </c>
      <c r="BF105">
        <v>1092.2177999999999</v>
      </c>
      <c r="BG105">
        <v>1320.5794000000001</v>
      </c>
    </row>
    <row r="106" spans="1:59" x14ac:dyDescent="0.3">
      <c r="A106">
        <v>1082</v>
      </c>
      <c r="B106">
        <v>1741</v>
      </c>
      <c r="C106">
        <v>1085.1677</v>
      </c>
      <c r="D106">
        <v>1708.1193000000001</v>
      </c>
      <c r="E106">
        <v>1083</v>
      </c>
      <c r="F106">
        <v>1082.7747999999999</v>
      </c>
      <c r="H106">
        <v>1086.3559</v>
      </c>
      <c r="I106">
        <v>1656.4183</v>
      </c>
      <c r="AI106">
        <v>1106</v>
      </c>
      <c r="AJ106">
        <v>1091</v>
      </c>
      <c r="AK106">
        <v>1432</v>
      </c>
      <c r="AL106">
        <v>1109.8996</v>
      </c>
      <c r="AM106">
        <v>1092.7226000000001</v>
      </c>
      <c r="AN106">
        <v>1390.5304000000001</v>
      </c>
      <c r="AO106">
        <f t="shared" si="3"/>
        <v>3</v>
      </c>
      <c r="AU106" cm="1">
        <f t="array" ref="AU106">IF($AO106="","", $AL106 - INDEX($AS$2:$AS$11,$AO106))</f>
        <v>-35.254949999999781</v>
      </c>
      <c r="AV106" cm="1">
        <f t="array" ref="AV106">IF($AO106="","", $AM106 - INDEX($AT$2:$AT$11,$AO106))</f>
        <v>-3.1668078947363938</v>
      </c>
      <c r="AW106">
        <f t="shared" si="4"/>
        <v>111.64565398853613</v>
      </c>
      <c r="BB106">
        <v>1105</v>
      </c>
      <c r="BC106">
        <v>1092</v>
      </c>
      <c r="BD106">
        <v>1461</v>
      </c>
      <c r="BE106">
        <v>1107.8816999999999</v>
      </c>
      <c r="BF106">
        <v>1092.5</v>
      </c>
      <c r="BG106">
        <v>1417.1913999999999</v>
      </c>
    </row>
    <row r="107" spans="1:59" x14ac:dyDescent="0.3">
      <c r="A107">
        <v>1083</v>
      </c>
      <c r="B107">
        <v>1768</v>
      </c>
      <c r="C107">
        <v>1084.8449000000001</v>
      </c>
      <c r="D107">
        <v>1754.6170999999999</v>
      </c>
      <c r="E107">
        <v>1083</v>
      </c>
      <c r="F107">
        <v>1083.4377999999999</v>
      </c>
      <c r="H107">
        <v>1084.8241</v>
      </c>
      <c r="I107">
        <v>1716.1404</v>
      </c>
      <c r="AI107">
        <v>1103</v>
      </c>
      <c r="AJ107">
        <v>1094</v>
      </c>
      <c r="AK107">
        <v>1506</v>
      </c>
      <c r="AL107">
        <v>1105.4954</v>
      </c>
      <c r="AM107">
        <v>1093.0539000000001</v>
      </c>
      <c r="AN107">
        <v>1474.8340000000001</v>
      </c>
      <c r="AO107">
        <f t="shared" si="3"/>
        <v>3</v>
      </c>
      <c r="AU107" cm="1">
        <f t="array" ref="AU107">IF($AO107="","", $AL107 - INDEX($AS$2:$AS$11,$AO107))</f>
        <v>-39.659149999999727</v>
      </c>
      <c r="AV107" cm="1">
        <f t="array" ref="AV107">IF($AO107="","", $AM107 - INDEX($AT$2:$AT$11,$AO107))</f>
        <v>-2.8355078947363381</v>
      </c>
      <c r="AW107">
        <f t="shared" si="4"/>
        <v>112.45383292353186</v>
      </c>
      <c r="BB107">
        <v>1097</v>
      </c>
      <c r="BC107">
        <v>1092</v>
      </c>
      <c r="BD107">
        <v>1543</v>
      </c>
      <c r="BE107">
        <v>1103.4328</v>
      </c>
      <c r="BF107">
        <v>1092.8652</v>
      </c>
      <c r="BG107">
        <v>1504.4784999999999</v>
      </c>
    </row>
    <row r="108" spans="1:59" x14ac:dyDescent="0.3">
      <c r="A108">
        <v>1080</v>
      </c>
      <c r="B108">
        <v>1778</v>
      </c>
      <c r="C108">
        <v>1085.9874</v>
      </c>
      <c r="D108">
        <v>1781.9133999999999</v>
      </c>
      <c r="E108">
        <v>1083</v>
      </c>
      <c r="F108">
        <v>1084.1539</v>
      </c>
      <c r="H108">
        <v>1084.7348999999999</v>
      </c>
      <c r="I108">
        <v>1758.4273000000001</v>
      </c>
      <c r="AI108">
        <v>1098</v>
      </c>
      <c r="AJ108">
        <v>1092</v>
      </c>
      <c r="AK108">
        <v>1585</v>
      </c>
      <c r="AL108">
        <v>1102.2474999999999</v>
      </c>
      <c r="AM108">
        <v>1093.4575</v>
      </c>
      <c r="AN108">
        <v>1548.0173</v>
      </c>
      <c r="AO108">
        <f t="shared" si="3"/>
        <v>3</v>
      </c>
      <c r="AU108" cm="1">
        <f t="array" ref="AU108">IF($AO108="","", $AL108 - INDEX($AS$2:$AS$11,$AO108))</f>
        <v>-42.907049999999799</v>
      </c>
      <c r="AV108" cm="1">
        <f t="array" ref="AV108">IF($AO108="","", $AM108 - INDEX($AT$2:$AT$11,$AO108))</f>
        <v>-2.4319078947364687</v>
      </c>
      <c r="AW108">
        <f t="shared" si="4"/>
        <v>104.34599363485191</v>
      </c>
      <c r="BB108">
        <v>1095</v>
      </c>
      <c r="BC108">
        <v>1092</v>
      </c>
      <c r="BD108">
        <v>1621</v>
      </c>
      <c r="BE108">
        <v>1100.1878999999999</v>
      </c>
      <c r="BF108">
        <v>1093.3027999999999</v>
      </c>
      <c r="BG108">
        <v>1579.9049</v>
      </c>
    </row>
    <row r="109" spans="1:59" x14ac:dyDescent="0.3">
      <c r="A109">
        <v>1086</v>
      </c>
      <c r="B109">
        <v>1773</v>
      </c>
      <c r="C109">
        <v>1088.5624</v>
      </c>
      <c r="D109">
        <v>1789.2177999999999</v>
      </c>
      <c r="E109">
        <v>1084</v>
      </c>
      <c r="F109">
        <v>1084.9014999999999</v>
      </c>
      <c r="H109">
        <v>1086.0925999999999</v>
      </c>
      <c r="I109">
        <v>1782.0225</v>
      </c>
      <c r="AI109">
        <v>1098</v>
      </c>
      <c r="AJ109">
        <v>1094</v>
      </c>
      <c r="AK109">
        <v>1642</v>
      </c>
      <c r="AL109">
        <v>1100.2493999999999</v>
      </c>
      <c r="AM109">
        <v>1093.9212</v>
      </c>
      <c r="AN109">
        <v>1607.9606000000001</v>
      </c>
      <c r="AO109">
        <f t="shared" si="3"/>
        <v>3</v>
      </c>
      <c r="AU109" cm="1">
        <f t="array" ref="AU109">IF($AO109="","", $AL109 - INDEX($AS$2:$AS$11,$AO109))</f>
        <v>-44.905149999999821</v>
      </c>
      <c r="AV109" cm="1">
        <f t="array" ref="AV109">IF($AO109="","", $AM109 - INDEX($AT$2:$AT$11,$AO109))</f>
        <v>-1.9682078947364516</v>
      </c>
      <c r="AW109">
        <f t="shared" si="4"/>
        <v>88.382670744324216</v>
      </c>
      <c r="BB109">
        <v>1098</v>
      </c>
      <c r="BC109">
        <v>1092</v>
      </c>
      <c r="BD109">
        <v>1676</v>
      </c>
      <c r="BE109">
        <v>1098.2419</v>
      </c>
      <c r="BF109">
        <v>1093.8000999999999</v>
      </c>
      <c r="BG109">
        <v>1641.2768000000001</v>
      </c>
    </row>
    <row r="110" spans="1:59" x14ac:dyDescent="0.3">
      <c r="A110">
        <v>1091</v>
      </c>
      <c r="B110">
        <v>1755</v>
      </c>
      <c r="C110">
        <v>1092.4955</v>
      </c>
      <c r="D110">
        <v>1776.3168000000001</v>
      </c>
      <c r="E110">
        <v>1086</v>
      </c>
      <c r="F110">
        <v>1085.6579999999999</v>
      </c>
      <c r="H110">
        <v>1088.8602000000001</v>
      </c>
      <c r="I110">
        <v>1786.1953000000001</v>
      </c>
      <c r="AI110">
        <v>1099</v>
      </c>
      <c r="AJ110">
        <v>1094</v>
      </c>
      <c r="AK110">
        <v>1686</v>
      </c>
      <c r="AL110">
        <v>1099.5589</v>
      </c>
      <c r="AM110">
        <v>1094.4306999999999</v>
      </c>
      <c r="AN110">
        <v>1652.9290000000001</v>
      </c>
      <c r="AO110">
        <f t="shared" si="3"/>
        <v>3</v>
      </c>
      <c r="AU110" cm="1">
        <f t="array" ref="AU110">IF($AO110="","", $AL110 - INDEX($AS$2:$AS$11,$AO110))</f>
        <v>-45.59564999999975</v>
      </c>
      <c r="AV110" cm="1">
        <f t="array" ref="AV110">IF($AO110="","", $AM110 - INDEX($AT$2:$AT$11,$AO110))</f>
        <v>-1.4587078947365626</v>
      </c>
      <c r="AW110">
        <f t="shared" si="4"/>
        <v>66.510734620644783</v>
      </c>
      <c r="BB110">
        <v>1098</v>
      </c>
      <c r="BC110">
        <v>1095</v>
      </c>
      <c r="BD110">
        <v>1717</v>
      </c>
      <c r="BE110">
        <v>1097.6523</v>
      </c>
      <c r="BF110">
        <v>1094.3425999999999</v>
      </c>
      <c r="BG110">
        <v>1686.8067000000001</v>
      </c>
    </row>
    <row r="111" spans="1:59" x14ac:dyDescent="0.3">
      <c r="A111">
        <v>1100</v>
      </c>
      <c r="B111">
        <v>1719</v>
      </c>
      <c r="C111">
        <v>1097.6733999999999</v>
      </c>
      <c r="D111">
        <v>1743.5799</v>
      </c>
      <c r="E111">
        <v>1086</v>
      </c>
      <c r="F111">
        <v>1086.4009000000001</v>
      </c>
      <c r="H111">
        <v>1092.961</v>
      </c>
      <c r="I111">
        <v>1770.7641000000001</v>
      </c>
      <c r="AI111">
        <v>1097</v>
      </c>
      <c r="AJ111">
        <v>1096</v>
      </c>
      <c r="AK111">
        <v>1706</v>
      </c>
      <c r="AL111">
        <v>1100.1956</v>
      </c>
      <c r="AM111">
        <v>1094.9707000000001</v>
      </c>
      <c r="AN111">
        <v>1681.6223</v>
      </c>
      <c r="AO111">
        <f t="shared" si="3"/>
        <v>3</v>
      </c>
      <c r="AU111" cm="1">
        <f t="array" ref="AU111">IF($AO111="","", $AL111 - INDEX($AS$2:$AS$11,$AO111))</f>
        <v>-44.958949999999732</v>
      </c>
      <c r="AV111" cm="1">
        <f t="array" ref="AV111">IF($AO111="","", $AM111 - INDEX($AT$2:$AT$11,$AO111))</f>
        <v>-0.9187078947363716</v>
      </c>
      <c r="AW111">
        <f t="shared" si="4"/>
        <v>41.304142304057549</v>
      </c>
      <c r="BB111">
        <v>1098</v>
      </c>
      <c r="BC111">
        <v>1094</v>
      </c>
      <c r="BD111">
        <v>1736</v>
      </c>
      <c r="BE111">
        <v>1098.4376999999999</v>
      </c>
      <c r="BF111">
        <v>1094.9145000000001</v>
      </c>
      <c r="BG111">
        <v>1715.1658</v>
      </c>
    </row>
    <row r="112" spans="1:59" x14ac:dyDescent="0.3">
      <c r="A112">
        <v>1103</v>
      </c>
      <c r="B112">
        <v>1674</v>
      </c>
      <c r="C112">
        <v>1103.9472000000001</v>
      </c>
      <c r="D112">
        <v>1691.9499000000001</v>
      </c>
      <c r="E112">
        <v>1085</v>
      </c>
      <c r="F112">
        <v>1087.1079999999999</v>
      </c>
      <c r="H112">
        <v>1098.2799</v>
      </c>
      <c r="I112">
        <v>1736.104</v>
      </c>
      <c r="M112">
        <v>2149</v>
      </c>
      <c r="N112">
        <v>1298</v>
      </c>
      <c r="O112">
        <v>1281</v>
      </c>
      <c r="R112">
        <v>2562</v>
      </c>
      <c r="S112">
        <v>2474</v>
      </c>
      <c r="AI112">
        <v>1101</v>
      </c>
      <c r="AJ112">
        <v>1096</v>
      </c>
      <c r="AK112">
        <v>1706</v>
      </c>
      <c r="AL112">
        <v>1102.1414</v>
      </c>
      <c r="AM112">
        <v>1095.5253</v>
      </c>
      <c r="AN112">
        <v>1693.2126000000001</v>
      </c>
      <c r="AO112">
        <f t="shared" si="3"/>
        <v>3</v>
      </c>
      <c r="AU112" cm="1">
        <f t="array" ref="AU112">IF($AO112="","", $AL112 - INDEX($AS$2:$AS$11,$AO112))</f>
        <v>-43.013149999999769</v>
      </c>
      <c r="AV112" cm="1">
        <f t="array" ref="AV112">IF($AO112="","", $AM112 - INDEX($AT$2:$AT$11,$AO112))</f>
        <v>-0.3641078947364349</v>
      </c>
      <c r="AW112">
        <f t="shared" si="4"/>
        <v>15.661427492482401</v>
      </c>
      <c r="BB112">
        <v>1101</v>
      </c>
      <c r="BC112">
        <v>1095</v>
      </c>
      <c r="BD112">
        <v>1733</v>
      </c>
      <c r="BE112">
        <v>1100.577</v>
      </c>
      <c r="BF112">
        <v>1095.4992</v>
      </c>
      <c r="BG112">
        <v>1725.5228999999999</v>
      </c>
    </row>
    <row r="113" spans="1:59" x14ac:dyDescent="0.3">
      <c r="A113">
        <v>1112</v>
      </c>
      <c r="B113">
        <v>1611</v>
      </c>
      <c r="C113">
        <v>1111.1360999999999</v>
      </c>
      <c r="D113">
        <v>1622.9156</v>
      </c>
      <c r="E113">
        <v>1086</v>
      </c>
      <c r="F113">
        <v>1087.7583999999999</v>
      </c>
      <c r="H113">
        <v>1104.6669999999999</v>
      </c>
      <c r="I113">
        <v>1683.1387999999999</v>
      </c>
      <c r="M113">
        <v>1765</v>
      </c>
      <c r="N113">
        <v>1297</v>
      </c>
      <c r="O113">
        <v>1280</v>
      </c>
      <c r="R113">
        <v>2675</v>
      </c>
      <c r="S113">
        <v>2604</v>
      </c>
      <c r="AI113">
        <v>1106</v>
      </c>
      <c r="AJ113">
        <v>1097</v>
      </c>
      <c r="AK113">
        <v>1688</v>
      </c>
      <c r="AL113">
        <v>1105.3402000000001</v>
      </c>
      <c r="AM113">
        <v>1096.0779</v>
      </c>
      <c r="AN113">
        <v>1687.3686</v>
      </c>
      <c r="AO113">
        <f t="shared" si="3"/>
        <v>3</v>
      </c>
      <c r="AU113" cm="1">
        <f t="array" ref="AU113">IF($AO113="","", $AL113 - INDEX($AS$2:$AS$11,$AO113))</f>
        <v>-39.814349999999649</v>
      </c>
      <c r="AV113" cm="1">
        <f t="array" ref="AV113">IF($AO113="","", $AM113 - INDEX($AT$2:$AT$11,$AO113))</f>
        <v>0.18849210526354909</v>
      </c>
      <c r="AW113">
        <f t="shared" si="4"/>
        <v>-7.50469065119972</v>
      </c>
      <c r="BB113">
        <v>1101</v>
      </c>
      <c r="BC113">
        <v>1094</v>
      </c>
      <c r="BD113">
        <v>1703</v>
      </c>
      <c r="BE113">
        <v>1104.0101</v>
      </c>
      <c r="BF113">
        <v>1096.0798</v>
      </c>
      <c r="BG113">
        <v>1717.5686000000001</v>
      </c>
    </row>
    <row r="114" spans="1:59" x14ac:dyDescent="0.3">
      <c r="A114">
        <v>1119</v>
      </c>
      <c r="B114">
        <v>1529</v>
      </c>
      <c r="C114">
        <v>1119.0331000000001</v>
      </c>
      <c r="D114">
        <v>1538.4689000000001</v>
      </c>
      <c r="E114">
        <v>1088</v>
      </c>
      <c r="F114">
        <v>1088.3327999999999</v>
      </c>
      <c r="H114">
        <v>1111.9419</v>
      </c>
      <c r="I114">
        <v>1613.3167000000001</v>
      </c>
      <c r="M114">
        <v>1407</v>
      </c>
      <c r="N114">
        <v>1296</v>
      </c>
      <c r="O114">
        <v>1280</v>
      </c>
      <c r="R114">
        <v>2768</v>
      </c>
      <c r="S114">
        <v>2716</v>
      </c>
      <c r="AI114">
        <v>1112</v>
      </c>
      <c r="AJ114">
        <v>1098</v>
      </c>
      <c r="AK114">
        <v>1650</v>
      </c>
      <c r="AL114">
        <v>1109.6995999999999</v>
      </c>
      <c r="AM114">
        <v>1096.6124</v>
      </c>
      <c r="AN114">
        <v>1664.2641000000001</v>
      </c>
      <c r="AO114">
        <f t="shared" si="3"/>
        <v>3</v>
      </c>
      <c r="AU114" cm="1">
        <f t="array" ref="AU114">IF($AO114="","", $AL114 - INDEX($AS$2:$AS$11,$AO114))</f>
        <v>-35.454949999999826</v>
      </c>
      <c r="AV114" cm="1">
        <f t="array" ref="AV114">IF($AO114="","", $AM114 - INDEX($AT$2:$AT$11,$AO114))</f>
        <v>0.72299210526352908</v>
      </c>
      <c r="AW114">
        <f t="shared" si="4"/>
        <v>-25.633648942513034</v>
      </c>
      <c r="BB114">
        <v>1108</v>
      </c>
      <c r="BC114">
        <v>1095</v>
      </c>
      <c r="BD114">
        <v>1664</v>
      </c>
      <c r="BE114">
        <v>1108.6394</v>
      </c>
      <c r="BF114">
        <v>1096.6393</v>
      </c>
      <c r="BG114">
        <v>1691.5247999999999</v>
      </c>
    </row>
    <row r="115" spans="1:59" x14ac:dyDescent="0.3">
      <c r="A115">
        <v>1128</v>
      </c>
      <c r="B115">
        <v>1430</v>
      </c>
      <c r="C115">
        <v>1127.4109000000001</v>
      </c>
      <c r="D115">
        <v>1441.0478000000001</v>
      </c>
      <c r="E115">
        <v>1088</v>
      </c>
      <c r="F115">
        <v>1088.8143</v>
      </c>
      <c r="H115">
        <v>1119.8987999999999</v>
      </c>
      <c r="I115">
        <v>1528.5710999999999</v>
      </c>
      <c r="M115">
        <v>1145</v>
      </c>
      <c r="N115">
        <v>1296</v>
      </c>
      <c r="O115">
        <v>1288</v>
      </c>
      <c r="R115">
        <v>2839</v>
      </c>
      <c r="S115">
        <v>2791</v>
      </c>
      <c r="AI115">
        <v>1115</v>
      </c>
      <c r="AJ115">
        <v>1095</v>
      </c>
      <c r="AK115">
        <v>1599</v>
      </c>
      <c r="AL115">
        <v>1115.0941</v>
      </c>
      <c r="AM115">
        <v>1097.1132</v>
      </c>
      <c r="AN115">
        <v>1624.5731000000001</v>
      </c>
      <c r="AO115">
        <f t="shared" si="3"/>
        <v>3</v>
      </c>
      <c r="AU115" cm="1">
        <f t="array" ref="AU115">IF($AO115="","", $AL115 - INDEX($AS$2:$AS$11,$AO115))</f>
        <v>-30.060449999999719</v>
      </c>
      <c r="AV115" cm="1">
        <f t="array" ref="AV115">IF($AO115="","", $AM115 - INDEX($AT$2:$AT$11,$AO115))</f>
        <v>1.2237921052635556</v>
      </c>
      <c r="AW115">
        <f t="shared" si="4"/>
        <v>-36.78774139066951</v>
      </c>
      <c r="BB115">
        <v>1114</v>
      </c>
      <c r="BC115">
        <v>1096</v>
      </c>
      <c r="BD115">
        <v>1616</v>
      </c>
      <c r="BE115">
        <v>1114.3329000000001</v>
      </c>
      <c r="BF115">
        <v>1097.1615999999999</v>
      </c>
      <c r="BG115">
        <v>1648.1383000000001</v>
      </c>
    </row>
    <row r="116" spans="1:59" x14ac:dyDescent="0.3">
      <c r="A116">
        <v>1137</v>
      </c>
      <c r="B116">
        <v>1329</v>
      </c>
      <c r="C116">
        <v>1136.0281</v>
      </c>
      <c r="D116">
        <v>1333.4657999999999</v>
      </c>
      <c r="E116">
        <v>1089</v>
      </c>
      <c r="F116">
        <v>1089.1887999999999</v>
      </c>
      <c r="H116">
        <v>1128.3118999999999</v>
      </c>
      <c r="I116">
        <v>1431.2674999999999</v>
      </c>
      <c r="M116">
        <v>969</v>
      </c>
      <c r="N116">
        <v>1296</v>
      </c>
      <c r="O116">
        <v>1287</v>
      </c>
      <c r="R116">
        <v>2888</v>
      </c>
      <c r="S116">
        <v>2857</v>
      </c>
      <c r="AI116">
        <v>1122</v>
      </c>
      <c r="AJ116">
        <v>1098</v>
      </c>
      <c r="AK116">
        <v>1539</v>
      </c>
      <c r="AL116">
        <v>1121.3681999999999</v>
      </c>
      <c r="AM116">
        <v>1097.5655999999999</v>
      </c>
      <c r="AN116">
        <v>1569.4496999999999</v>
      </c>
      <c r="AO116">
        <f t="shared" si="3"/>
        <v>4</v>
      </c>
      <c r="AU116" cm="1">
        <f t="array" ref="AU116">IF($AO116="","", $AL116 - INDEX($AS$2:$AS$11,$AO116))</f>
        <v>-23.262471052631327</v>
      </c>
      <c r="AV116" cm="1">
        <f t="array" ref="AV116">IF($AO116="","", $AM116 - INDEX($AT$2:$AT$11,$AO116))</f>
        <v>2.1412078947369082</v>
      </c>
      <c r="AW116">
        <f t="shared" si="4"/>
        <v>-49.809786668982994</v>
      </c>
      <c r="BB116">
        <v>1125</v>
      </c>
      <c r="BC116">
        <v>1097</v>
      </c>
      <c r="BD116">
        <v>1560</v>
      </c>
      <c r="BE116">
        <v>1120.9275</v>
      </c>
      <c r="BF116">
        <v>1097.6315999999999</v>
      </c>
      <c r="BG116">
        <v>1588.6593</v>
      </c>
    </row>
    <row r="117" spans="1:59" x14ac:dyDescent="0.3">
      <c r="A117">
        <v>1143</v>
      </c>
      <c r="B117">
        <v>1222</v>
      </c>
      <c r="C117">
        <v>1144.6366</v>
      </c>
      <c r="D117">
        <v>1218.8305</v>
      </c>
      <c r="E117">
        <v>1090</v>
      </c>
      <c r="F117">
        <v>1089.4453000000001</v>
      </c>
      <c r="H117">
        <v>1136.9425000000001</v>
      </c>
      <c r="I117">
        <v>1324.1369</v>
      </c>
      <c r="M117">
        <v>921</v>
      </c>
      <c r="N117">
        <v>1295</v>
      </c>
      <c r="O117">
        <v>1285</v>
      </c>
      <c r="R117">
        <v>2909</v>
      </c>
      <c r="S117">
        <v>2898</v>
      </c>
      <c r="AI117">
        <v>1130</v>
      </c>
      <c r="AJ117">
        <v>1098</v>
      </c>
      <c r="AK117">
        <v>1475</v>
      </c>
      <c r="AL117">
        <v>1128.3411000000001</v>
      </c>
      <c r="AM117">
        <v>1097.9567</v>
      </c>
      <c r="AN117">
        <v>1500.4942000000001</v>
      </c>
      <c r="AO117">
        <f t="shared" si="3"/>
        <v>4</v>
      </c>
      <c r="AU117" cm="1">
        <f t="array" ref="AU117">IF($AO117="","", $AL117 - INDEX($AS$2:$AS$11,$AO117))</f>
        <v>-16.289571052631118</v>
      </c>
      <c r="AV117" cm="1">
        <f t="array" ref="AV117">IF($AO117="","", $AM117 - INDEX($AT$2:$AT$11,$AO117))</f>
        <v>2.5323078947369595</v>
      </c>
      <c r="AW117">
        <f t="shared" si="4"/>
        <v>-41.250209378456425</v>
      </c>
      <c r="BB117">
        <v>1130</v>
      </c>
      <c r="BC117">
        <v>1098</v>
      </c>
      <c r="BD117">
        <v>1491</v>
      </c>
      <c r="BE117">
        <v>1128.2342000000001</v>
      </c>
      <c r="BF117">
        <v>1098.0355</v>
      </c>
      <c r="BG117">
        <v>1514.8049000000001</v>
      </c>
    </row>
    <row r="118" spans="1:59" x14ac:dyDescent="0.3">
      <c r="A118">
        <v>1151</v>
      </c>
      <c r="B118">
        <v>1136</v>
      </c>
      <c r="C118">
        <v>1152.9884999999999</v>
      </c>
      <c r="D118">
        <v>1100.4544000000001</v>
      </c>
      <c r="E118">
        <v>1089</v>
      </c>
      <c r="F118">
        <v>1089.5763999999999</v>
      </c>
      <c r="H118">
        <v>1145.5452</v>
      </c>
      <c r="I118">
        <v>1210.1994999999999</v>
      </c>
      <c r="M118">
        <v>1008</v>
      </c>
      <c r="N118">
        <v>1295</v>
      </c>
      <c r="O118">
        <v>1285</v>
      </c>
      <c r="R118">
        <v>2919</v>
      </c>
      <c r="S118">
        <v>2919</v>
      </c>
      <c r="AI118">
        <v>1137</v>
      </c>
      <c r="AJ118">
        <v>1097</v>
      </c>
      <c r="AK118">
        <v>1399</v>
      </c>
      <c r="AL118">
        <v>1135.8117999999999</v>
      </c>
      <c r="AM118">
        <v>1098.2752</v>
      </c>
      <c r="AN118">
        <v>1419.7066</v>
      </c>
      <c r="AO118">
        <f t="shared" si="3"/>
        <v>4</v>
      </c>
      <c r="AU118" cm="1">
        <f t="array" ref="AU118">IF($AO118="","", $AL118 - INDEX($AS$2:$AS$11,$AO118))</f>
        <v>-8.8188710526312661</v>
      </c>
      <c r="AV118" cm="1">
        <f t="array" ref="AV118">IF($AO118="","", $AM118 - INDEX($AT$2:$AT$11,$AO118))</f>
        <v>2.850807894737045</v>
      </c>
      <c r="AW118">
        <f t="shared" si="4"/>
        <v>-25.140907219509209</v>
      </c>
      <c r="BB118">
        <v>1137</v>
      </c>
      <c r="BC118">
        <v>1099</v>
      </c>
      <c r="BD118">
        <v>1415</v>
      </c>
      <c r="BE118">
        <v>1136.0432000000001</v>
      </c>
      <c r="BF118">
        <v>1098.3615</v>
      </c>
      <c r="BG118">
        <v>1428.7097000000001</v>
      </c>
    </row>
    <row r="119" spans="1:59" x14ac:dyDescent="0.3">
      <c r="A119">
        <v>1161</v>
      </c>
      <c r="B119">
        <v>984</v>
      </c>
      <c r="C119">
        <v>1160.8430000000001</v>
      </c>
      <c r="D119">
        <v>981.75850000000003</v>
      </c>
      <c r="E119">
        <v>1089</v>
      </c>
      <c r="F119">
        <v>1089.5785000000001</v>
      </c>
      <c r="H119">
        <v>1153.8751999999999</v>
      </c>
      <c r="I119">
        <v>1092.6786999999999</v>
      </c>
      <c r="M119">
        <v>1203</v>
      </c>
      <c r="N119">
        <v>1295</v>
      </c>
      <c r="O119">
        <v>1284</v>
      </c>
      <c r="R119">
        <v>2895</v>
      </c>
      <c r="S119">
        <v>2911</v>
      </c>
      <c r="AI119">
        <v>1146</v>
      </c>
      <c r="AJ119">
        <v>1098</v>
      </c>
      <c r="AK119">
        <v>1311</v>
      </c>
      <c r="AL119">
        <v>1143.5651</v>
      </c>
      <c r="AM119">
        <v>1098.5119</v>
      </c>
      <c r="AN119">
        <v>1329.4278999999999</v>
      </c>
      <c r="AO119">
        <f t="shared" si="3"/>
        <v>4</v>
      </c>
      <c r="AU119" cm="1">
        <f t="array" ref="AU119">IF($AO119="","", $AL119 - INDEX($AS$2:$AS$11,$AO119))</f>
        <v>-1.065571052631185</v>
      </c>
      <c r="AV119" cm="1">
        <f t="array" ref="AV119">IF($AO119="","", $AM119 - INDEX($AT$2:$AT$11,$AO119))</f>
        <v>3.087507894736973</v>
      </c>
      <c r="AW119">
        <f t="shared" si="4"/>
        <v>-3.28995903740197</v>
      </c>
      <c r="BB119">
        <v>1147</v>
      </c>
      <c r="BC119">
        <v>1098</v>
      </c>
      <c r="BD119">
        <v>1323</v>
      </c>
      <c r="BE119">
        <v>1144.1300000000001</v>
      </c>
      <c r="BF119">
        <v>1098.6003000000001</v>
      </c>
      <c r="BG119">
        <v>1332.8634</v>
      </c>
    </row>
    <row r="120" spans="1:59" x14ac:dyDescent="0.3">
      <c r="A120">
        <v>1168</v>
      </c>
      <c r="B120">
        <v>875</v>
      </c>
      <c r="C120">
        <v>1167.9740999999999</v>
      </c>
      <c r="D120">
        <v>866.17399999999998</v>
      </c>
      <c r="E120">
        <v>1089</v>
      </c>
      <c r="F120">
        <v>1089.4517000000001</v>
      </c>
      <c r="H120">
        <v>1161.6949999999999</v>
      </c>
      <c r="I120">
        <v>974.90959999999995</v>
      </c>
      <c r="M120">
        <v>1501</v>
      </c>
      <c r="N120">
        <v>1296</v>
      </c>
      <c r="O120">
        <v>1284</v>
      </c>
      <c r="R120">
        <v>2853</v>
      </c>
      <c r="S120">
        <v>2880</v>
      </c>
      <c r="AI120">
        <v>1153</v>
      </c>
      <c r="AJ120">
        <v>1099</v>
      </c>
      <c r="AK120">
        <v>1216</v>
      </c>
      <c r="AL120">
        <v>1151.3777</v>
      </c>
      <c r="AM120">
        <v>1098.6602</v>
      </c>
      <c r="AN120">
        <v>1232.2724000000001</v>
      </c>
      <c r="AO120">
        <f t="shared" si="3"/>
        <v>4</v>
      </c>
      <c r="AU120" cm="1">
        <f t="array" ref="AU120">IF($AO120="","", $AL120 - INDEX($AS$2:$AS$11,$AO120))</f>
        <v>6.7470289473687899</v>
      </c>
      <c r="AV120" cm="1">
        <f t="array" ref="AV120">IF($AO120="","", $AM120 - INDEX($AT$2:$AT$11,$AO120))</f>
        <v>3.2358078947370359</v>
      </c>
      <c r="AW120">
        <f t="shared" si="4"/>
        <v>21.832089533915244</v>
      </c>
      <c r="BB120">
        <v>1154</v>
      </c>
      <c r="BC120">
        <v>1099</v>
      </c>
      <c r="BD120">
        <v>1222</v>
      </c>
      <c r="BE120">
        <v>1152.2620999999999</v>
      </c>
      <c r="BF120">
        <v>1098.7447</v>
      </c>
      <c r="BG120">
        <v>1230.0389</v>
      </c>
    </row>
    <row r="121" spans="1:59" x14ac:dyDescent="0.3">
      <c r="A121">
        <v>1178</v>
      </c>
      <c r="B121">
        <v>770</v>
      </c>
      <c r="C121">
        <v>1174.1762000000001</v>
      </c>
      <c r="D121">
        <v>757.04259999999999</v>
      </c>
      <c r="E121">
        <v>1090</v>
      </c>
      <c r="F121">
        <v>1089.1999000000001</v>
      </c>
      <c r="H121">
        <v>1168.7818</v>
      </c>
      <c r="I121">
        <v>860.24350000000004</v>
      </c>
      <c r="M121">
        <v>1857</v>
      </c>
      <c r="N121">
        <v>1297</v>
      </c>
      <c r="O121">
        <v>1285</v>
      </c>
      <c r="R121">
        <v>2791</v>
      </c>
      <c r="S121">
        <v>2766</v>
      </c>
      <c r="AI121">
        <v>1156</v>
      </c>
      <c r="AJ121">
        <v>1097</v>
      </c>
      <c r="AK121">
        <v>1115</v>
      </c>
      <c r="AL121">
        <v>1159.0243</v>
      </c>
      <c r="AM121">
        <v>1098.7158999999999</v>
      </c>
      <c r="AN121">
        <v>1131.0517</v>
      </c>
      <c r="AO121">
        <f t="shared" si="3"/>
        <v>4</v>
      </c>
      <c r="AU121" cm="1">
        <f t="array" ref="AU121">IF($AO121="","", $AL121 - INDEX($AS$2:$AS$11,$AO121))</f>
        <v>14.393628947368825</v>
      </c>
      <c r="AV121" cm="1">
        <f t="array" ref="AV121">IF($AO121="","", $AM121 - INDEX($AT$2:$AT$11,$AO121))</f>
        <v>3.2915078947369238</v>
      </c>
      <c r="AW121">
        <f t="shared" si="4"/>
        <v>47.376743314178405</v>
      </c>
      <c r="BB121">
        <v>1159</v>
      </c>
      <c r="BC121">
        <v>1098</v>
      </c>
      <c r="BD121">
        <v>1120</v>
      </c>
      <c r="BE121">
        <v>1160.2053000000001</v>
      </c>
      <c r="BF121">
        <v>1098.7904000000001</v>
      </c>
      <c r="BG121">
        <v>1123.2113999999999</v>
      </c>
    </row>
    <row r="122" spans="1:59" x14ac:dyDescent="0.3">
      <c r="A122">
        <v>1179</v>
      </c>
      <c r="B122">
        <v>656</v>
      </c>
      <c r="C122">
        <v>1179.2705000000001</v>
      </c>
      <c r="D122">
        <v>657.52</v>
      </c>
      <c r="E122">
        <v>1087</v>
      </c>
      <c r="F122">
        <v>1088.8308</v>
      </c>
      <c r="H122">
        <v>1174.933</v>
      </c>
      <c r="I122">
        <v>751.95190000000002</v>
      </c>
      <c r="M122">
        <v>2242</v>
      </c>
      <c r="N122">
        <v>1298</v>
      </c>
      <c r="O122">
        <v>1284</v>
      </c>
      <c r="R122">
        <v>2707</v>
      </c>
      <c r="S122">
        <v>2674</v>
      </c>
      <c r="AI122">
        <v>1163</v>
      </c>
      <c r="AJ122">
        <v>1098</v>
      </c>
      <c r="AK122">
        <v>1024</v>
      </c>
      <c r="AL122">
        <v>1166.2849000000001</v>
      </c>
      <c r="AM122">
        <v>1098.6776</v>
      </c>
      <c r="AN122">
        <v>1028.6932999999999</v>
      </c>
      <c r="AO122">
        <f t="shared" si="3"/>
        <v>4</v>
      </c>
      <c r="AU122" cm="1">
        <f t="array" ref="AU122">IF($AO122="","", $AL122 - INDEX($AS$2:$AS$11,$AO122))</f>
        <v>21.654228947368892</v>
      </c>
      <c r="AV122" cm="1">
        <f t="array" ref="AV122">IF($AO122="","", $AM122 - INDEX($AT$2:$AT$11,$AO122))</f>
        <v>3.2532078947369882</v>
      </c>
      <c r="AW122">
        <f t="shared" si="4"/>
        <v>70.445708566022702</v>
      </c>
      <c r="BB122">
        <v>1168</v>
      </c>
      <c r="BC122">
        <v>1097</v>
      </c>
      <c r="BD122">
        <v>1021</v>
      </c>
      <c r="BE122">
        <v>1167.7307000000001</v>
      </c>
      <c r="BF122">
        <v>1098.7358999999999</v>
      </c>
      <c r="BG122">
        <v>1015.4725</v>
      </c>
    </row>
    <row r="123" spans="1:59" x14ac:dyDescent="0.3">
      <c r="A123">
        <v>1183</v>
      </c>
      <c r="B123">
        <v>565</v>
      </c>
      <c r="C123">
        <v>1183.1102000000001</v>
      </c>
      <c r="D123">
        <v>570.48500000000001</v>
      </c>
      <c r="E123">
        <v>1087</v>
      </c>
      <c r="F123">
        <v>1088.3553999999999</v>
      </c>
      <c r="H123">
        <v>1179.973</v>
      </c>
      <c r="I123">
        <v>653.13189999999997</v>
      </c>
      <c r="M123">
        <v>2613</v>
      </c>
      <c r="N123">
        <v>1297</v>
      </c>
      <c r="O123">
        <v>1284</v>
      </c>
      <c r="R123">
        <v>2595</v>
      </c>
      <c r="S123">
        <v>2559</v>
      </c>
      <c r="AI123">
        <v>1167</v>
      </c>
      <c r="AJ123">
        <v>1090</v>
      </c>
      <c r="AK123">
        <v>923</v>
      </c>
      <c r="AL123">
        <v>1172.9502</v>
      </c>
      <c r="AM123">
        <v>1098.5463</v>
      </c>
      <c r="AN123">
        <v>928.1558</v>
      </c>
      <c r="AO123">
        <f t="shared" si="3"/>
        <v>4</v>
      </c>
      <c r="AU123" cm="1">
        <f t="array" ref="AU123">IF($AO123="","", $AL123 - INDEX($AS$2:$AS$11,$AO123))</f>
        <v>28.319528947368781</v>
      </c>
      <c r="AV123" cm="1">
        <f t="array" ref="AV123">IF($AO123="","", $AM123 - INDEX($AT$2:$AT$11,$AO123))</f>
        <v>3.1219078947369781</v>
      </c>
      <c r="AW123">
        <f t="shared" si="4"/>
        <v>88.410960996022979</v>
      </c>
      <c r="BB123">
        <v>1170</v>
      </c>
      <c r="BC123">
        <v>1098</v>
      </c>
      <c r="BD123">
        <v>906</v>
      </c>
      <c r="BE123">
        <v>1174.6215</v>
      </c>
      <c r="BF123">
        <v>1098.5826</v>
      </c>
      <c r="BG123">
        <v>909.94039999999995</v>
      </c>
    </row>
    <row r="124" spans="1:59" x14ac:dyDescent="0.3">
      <c r="A124">
        <v>1187</v>
      </c>
      <c r="B124">
        <v>490</v>
      </c>
      <c r="C124">
        <v>1185.5845999999999</v>
      </c>
      <c r="D124">
        <v>498.45580000000001</v>
      </c>
      <c r="E124">
        <v>1087</v>
      </c>
      <c r="F124">
        <v>1087.7878000000001</v>
      </c>
      <c r="H124">
        <v>1183.7574999999999</v>
      </c>
      <c r="I124">
        <v>566.61710000000005</v>
      </c>
      <c r="M124">
        <v>2909</v>
      </c>
      <c r="N124">
        <v>1298</v>
      </c>
      <c r="O124">
        <v>1285</v>
      </c>
      <c r="R124">
        <v>2474</v>
      </c>
      <c r="S124">
        <v>2424</v>
      </c>
      <c r="AI124">
        <v>1181</v>
      </c>
      <c r="AJ124">
        <v>1098</v>
      </c>
      <c r="AK124">
        <v>830</v>
      </c>
      <c r="AL124">
        <v>1178.8282999999999</v>
      </c>
      <c r="AM124">
        <v>1098.326</v>
      </c>
      <c r="AN124">
        <v>832.34370000000001</v>
      </c>
      <c r="AO124">
        <f t="shared" si="3"/>
        <v>4</v>
      </c>
      <c r="AU124" cm="1">
        <f t="array" ref="AU124">IF($AO124="","", $AL124 - INDEX($AS$2:$AS$11,$AO124))</f>
        <v>34.197628947368685</v>
      </c>
      <c r="AV124" cm="1">
        <f t="array" ref="AV124">IF($AO124="","", $AM124 - INDEX($AT$2:$AT$11,$AO124))</f>
        <v>2.9016078947370261</v>
      </c>
      <c r="AW124">
        <f t="shared" si="4"/>
        <v>99.228110134972425</v>
      </c>
      <c r="BB124">
        <v>1179</v>
      </c>
      <c r="BC124">
        <v>1095</v>
      </c>
      <c r="BD124">
        <v>815</v>
      </c>
      <c r="BE124">
        <v>1180.6789000000001</v>
      </c>
      <c r="BF124">
        <v>1098.3345999999999</v>
      </c>
      <c r="BG124">
        <v>809.66920000000005</v>
      </c>
    </row>
    <row r="125" spans="1:59" x14ac:dyDescent="0.3">
      <c r="A125">
        <v>1185</v>
      </c>
      <c r="B125">
        <v>435</v>
      </c>
      <c r="C125">
        <v>1186.6222</v>
      </c>
      <c r="D125">
        <v>443.51729999999998</v>
      </c>
      <c r="E125">
        <v>1085</v>
      </c>
      <c r="F125">
        <v>1087.1451</v>
      </c>
      <c r="H125">
        <v>1186.1777999999999</v>
      </c>
      <c r="I125">
        <v>494.89519999999999</v>
      </c>
      <c r="M125">
        <v>3117</v>
      </c>
      <c r="N125">
        <v>1299</v>
      </c>
      <c r="O125">
        <v>1285</v>
      </c>
      <c r="R125">
        <v>2335</v>
      </c>
      <c r="S125">
        <v>2283</v>
      </c>
      <c r="AI125">
        <v>1182</v>
      </c>
      <c r="AJ125">
        <v>1098</v>
      </c>
      <c r="AK125">
        <v>753</v>
      </c>
      <c r="AL125">
        <v>1183.7498000000001</v>
      </c>
      <c r="AM125">
        <v>1098.0229999999999</v>
      </c>
      <c r="AN125">
        <v>744.02369999999996</v>
      </c>
      <c r="AO125">
        <f t="shared" si="3"/>
        <v>4</v>
      </c>
      <c r="AU125" cm="1">
        <f t="array" ref="AU125">IF($AO125="","", $AL125 - INDEX($AS$2:$AS$11,$AO125))</f>
        <v>39.119128947368836</v>
      </c>
      <c r="AV125" cm="1">
        <f t="array" ref="AV125">IF($AO125="","", $AM125 - INDEX($AT$2:$AT$11,$AO125))</f>
        <v>2.5986078947369151</v>
      </c>
      <c r="AW125">
        <f t="shared" si="4"/>
        <v>101.65527731786405</v>
      </c>
      <c r="BB125">
        <v>1185</v>
      </c>
      <c r="BC125">
        <v>1098</v>
      </c>
      <c r="BD125">
        <v>732</v>
      </c>
      <c r="BE125">
        <v>1185.7279000000001</v>
      </c>
      <c r="BF125">
        <v>1097.999</v>
      </c>
      <c r="BG125">
        <v>717.5607</v>
      </c>
    </row>
    <row r="126" spans="1:59" x14ac:dyDescent="0.3">
      <c r="A126">
        <v>1186</v>
      </c>
      <c r="B126">
        <v>397</v>
      </c>
      <c r="C126">
        <v>1186.1929</v>
      </c>
      <c r="D126">
        <v>407.26130000000001</v>
      </c>
      <c r="E126">
        <v>1086</v>
      </c>
      <c r="F126">
        <v>1086.4462000000001</v>
      </c>
      <c r="H126">
        <v>1187.1643999999999</v>
      </c>
      <c r="I126">
        <v>440.03530000000001</v>
      </c>
      <c r="M126">
        <v>3220</v>
      </c>
      <c r="N126">
        <v>1300</v>
      </c>
      <c r="O126">
        <v>1284</v>
      </c>
      <c r="R126">
        <v>2177</v>
      </c>
      <c r="S126">
        <v>2124</v>
      </c>
      <c r="AI126">
        <v>1187</v>
      </c>
      <c r="AJ126">
        <v>1098</v>
      </c>
      <c r="AK126">
        <v>675</v>
      </c>
      <c r="AL126">
        <v>1187.5727999999999</v>
      </c>
      <c r="AM126">
        <v>1097.6460999999999</v>
      </c>
      <c r="AN126">
        <v>665.745</v>
      </c>
      <c r="AO126">
        <f t="shared" si="3"/>
        <v>4</v>
      </c>
      <c r="AU126" cm="1">
        <f t="array" ref="AU126">IF($AO126="","", $AL126 - INDEX($AS$2:$AS$11,$AO126))</f>
        <v>42.942128947368701</v>
      </c>
      <c r="AV126" cm="1">
        <f t="array" ref="AV126">IF($AO126="","", $AM126 - INDEX($AT$2:$AT$11,$AO126))</f>
        <v>2.2217078947369373</v>
      </c>
      <c r="AW126">
        <f t="shared" si="4"/>
        <v>95.404866899180604</v>
      </c>
      <c r="BB126">
        <v>1188</v>
      </c>
      <c r="BC126">
        <v>1095</v>
      </c>
      <c r="BD126">
        <v>641</v>
      </c>
      <c r="BE126">
        <v>1189.6226999999999</v>
      </c>
      <c r="BF126">
        <v>1097.585</v>
      </c>
      <c r="BG126">
        <v>636.28049999999996</v>
      </c>
    </row>
    <row r="127" spans="1:59" x14ac:dyDescent="0.3">
      <c r="A127">
        <v>1183</v>
      </c>
      <c r="B127">
        <v>381</v>
      </c>
      <c r="C127">
        <v>1184.3089</v>
      </c>
      <c r="D127">
        <v>390.73989999999998</v>
      </c>
      <c r="E127">
        <v>1086</v>
      </c>
      <c r="F127">
        <v>1085.7119</v>
      </c>
      <c r="H127">
        <v>1186.6886</v>
      </c>
      <c r="I127">
        <v>403.62759999999997</v>
      </c>
      <c r="M127">
        <v>3213</v>
      </c>
      <c r="N127">
        <v>1297</v>
      </c>
      <c r="O127">
        <v>1284</v>
      </c>
      <c r="R127">
        <v>2002</v>
      </c>
      <c r="S127">
        <v>1951</v>
      </c>
      <c r="AI127">
        <v>1190</v>
      </c>
      <c r="AJ127">
        <v>1095</v>
      </c>
      <c r="AK127">
        <v>599</v>
      </c>
      <c r="AL127">
        <v>1190.1872000000001</v>
      </c>
      <c r="AM127">
        <v>1097.2058</v>
      </c>
      <c r="AN127">
        <v>599.7663</v>
      </c>
      <c r="AO127">
        <f t="shared" si="3"/>
        <v>4</v>
      </c>
      <c r="AU127" cm="1">
        <f t="array" ref="AU127">IF($AO127="","", $AL127 - INDEX($AS$2:$AS$11,$AO127))</f>
        <v>45.556528947368861</v>
      </c>
      <c r="AV127" cm="1">
        <f t="array" ref="AV127">IF($AO127="","", $AM127 - INDEX($AT$2:$AT$11,$AO127))</f>
        <v>1.781407894736958</v>
      </c>
      <c r="AW127">
        <f t="shared" si="4"/>
        <v>81.154760323655651</v>
      </c>
      <c r="BB127">
        <v>1190</v>
      </c>
      <c r="BC127">
        <v>1098</v>
      </c>
      <c r="BD127">
        <v>570</v>
      </c>
      <c r="BE127">
        <v>1192.2505000000001</v>
      </c>
      <c r="BF127">
        <v>1097.1043</v>
      </c>
      <c r="BG127">
        <v>568.18050000000005</v>
      </c>
    </row>
    <row r="128" spans="1:59" x14ac:dyDescent="0.3">
      <c r="A128" s="2">
        <v>1179</v>
      </c>
      <c r="B128" s="2">
        <v>389</v>
      </c>
      <c r="C128" s="2">
        <v>1181.0242000000001</v>
      </c>
      <c r="D128" s="2">
        <v>394.43549999999999</v>
      </c>
      <c r="E128">
        <v>1083</v>
      </c>
      <c r="F128" s="2">
        <v>1084.9637</v>
      </c>
      <c r="H128">
        <v>1184.7633000000001</v>
      </c>
      <c r="I128">
        <v>386.73590000000002</v>
      </c>
      <c r="M128">
        <v>3111</v>
      </c>
      <c r="N128">
        <v>1299</v>
      </c>
      <c r="O128">
        <v>1282</v>
      </c>
      <c r="R128">
        <v>1834</v>
      </c>
      <c r="S128">
        <v>1784</v>
      </c>
      <c r="AI128">
        <v>1193</v>
      </c>
      <c r="AJ128">
        <v>1096</v>
      </c>
      <c r="AK128">
        <v>544</v>
      </c>
      <c r="AL128">
        <v>1191.5173</v>
      </c>
      <c r="AM128">
        <v>1096.7148</v>
      </c>
      <c r="AN128">
        <v>547.99120000000005</v>
      </c>
      <c r="AO128">
        <f t="shared" si="3"/>
        <v>4</v>
      </c>
      <c r="AU128" cm="1">
        <f t="array" ref="AU128">IF($AO128="","", $AL128 - INDEX($AS$2:$AS$11,$AO128))</f>
        <v>46.886628947368763</v>
      </c>
      <c r="AV128" cm="1">
        <f t="array" ref="AV128">IF($AO128="","", $AM128 - INDEX($AT$2:$AT$11,$AO128))</f>
        <v>1.2904078947369726</v>
      </c>
      <c r="AW128">
        <f t="shared" si="4"/>
        <v>60.502876151287722</v>
      </c>
      <c r="BB128">
        <v>1192</v>
      </c>
      <c r="BC128">
        <v>1097</v>
      </c>
      <c r="BD128">
        <v>511</v>
      </c>
      <c r="BE128">
        <v>1193.5351000000001</v>
      </c>
      <c r="BF128">
        <v>1096.5704000000001</v>
      </c>
      <c r="BG128">
        <v>515.23119999999994</v>
      </c>
    </row>
    <row r="129" spans="1:59" x14ac:dyDescent="0.3">
      <c r="A129" s="1">
        <v>1175</v>
      </c>
      <c r="B129" s="1">
        <v>407</v>
      </c>
      <c r="C129" s="1">
        <v>1176.4331</v>
      </c>
      <c r="D129" s="1">
        <v>418.24700000000001</v>
      </c>
      <c r="E129">
        <v>1084</v>
      </c>
      <c r="F129" s="1">
        <v>1084.2238</v>
      </c>
      <c r="H129" s="2">
        <v>1181.4431</v>
      </c>
      <c r="I129" s="2">
        <v>389.8664</v>
      </c>
      <c r="M129">
        <v>2902</v>
      </c>
      <c r="N129">
        <v>1298</v>
      </c>
      <c r="O129">
        <v>1282</v>
      </c>
      <c r="R129">
        <v>1668</v>
      </c>
      <c r="S129">
        <v>1609</v>
      </c>
      <c r="AI129">
        <v>1192</v>
      </c>
      <c r="AJ129">
        <v>1096</v>
      </c>
      <c r="AK129">
        <v>498</v>
      </c>
      <c r="AL129">
        <v>1191.5245</v>
      </c>
      <c r="AM129">
        <v>1096.1869999999999</v>
      </c>
      <c r="AN129">
        <v>511.91370000000001</v>
      </c>
      <c r="AO129">
        <f t="shared" si="3"/>
        <v>4</v>
      </c>
      <c r="AU129" cm="1">
        <f t="array" ref="AU129">IF($AO129="","", $AL129 - INDEX($AS$2:$AS$11,$AO129))</f>
        <v>46.893828947368775</v>
      </c>
      <c r="AV129" cm="1">
        <f t="array" ref="AV129">IF($AO129="","", $AM129 - INDEX($AT$2:$AT$11,$AO129))</f>
        <v>0.76260789473690238</v>
      </c>
      <c r="AW129">
        <f t="shared" si="4"/>
        <v>35.761604169705315</v>
      </c>
      <c r="BB129">
        <v>1195</v>
      </c>
      <c r="BC129">
        <v>1097</v>
      </c>
      <c r="BD129">
        <v>472</v>
      </c>
      <c r="BE129">
        <v>1193.4386999999999</v>
      </c>
      <c r="BF129">
        <v>1095.9983999999999</v>
      </c>
      <c r="BG129">
        <v>478.96480000000003</v>
      </c>
    </row>
    <row r="130" spans="1:59" x14ac:dyDescent="0.3">
      <c r="A130">
        <v>1169</v>
      </c>
      <c r="B130">
        <v>437</v>
      </c>
      <c r="C130">
        <v>1170.6674</v>
      </c>
      <c r="D130">
        <v>461.49239999999998</v>
      </c>
      <c r="E130">
        <v>1083</v>
      </c>
      <c r="F130">
        <v>1083.5139999999999</v>
      </c>
      <c r="H130" s="1">
        <v>1176.8225</v>
      </c>
      <c r="I130" s="1">
        <v>412.9513</v>
      </c>
      <c r="M130">
        <v>2597</v>
      </c>
      <c r="N130">
        <v>1297</v>
      </c>
      <c r="O130">
        <v>1281</v>
      </c>
      <c r="R130">
        <v>1503</v>
      </c>
      <c r="S130">
        <v>1444</v>
      </c>
      <c r="AI130">
        <v>1191</v>
      </c>
      <c r="AJ130">
        <v>1096</v>
      </c>
      <c r="AK130">
        <v>481</v>
      </c>
      <c r="AL130">
        <v>1190.2080000000001</v>
      </c>
      <c r="AM130">
        <v>1095.6371999999999</v>
      </c>
      <c r="AN130">
        <v>492.5761</v>
      </c>
      <c r="AO130">
        <f t="shared" si="3"/>
        <v>4</v>
      </c>
      <c r="AU130" cm="1">
        <f t="array" ref="AU130">IF($AO130="","", $AL130 - INDEX($AS$2:$AS$11,$AO130))</f>
        <v>45.577328947368869</v>
      </c>
      <c r="AV130" cm="1">
        <f t="array" ref="AV130">IF($AO130="","", $AM130 - INDEX($AT$2:$AT$11,$AO130))</f>
        <v>0.21280789473689765</v>
      </c>
      <c r="AW130">
        <f t="shared" si="4"/>
        <v>9.6992154210206323</v>
      </c>
      <c r="BB130">
        <v>1189</v>
      </c>
      <c r="BC130">
        <v>1095</v>
      </c>
      <c r="BD130">
        <v>449</v>
      </c>
      <c r="BE130">
        <v>1191.9636</v>
      </c>
      <c r="BF130">
        <v>1095.4043999999999</v>
      </c>
      <c r="BG130">
        <v>460.43099999999998</v>
      </c>
    </row>
    <row r="131" spans="1:59" x14ac:dyDescent="0.3">
      <c r="A131">
        <v>1167</v>
      </c>
      <c r="B131">
        <v>485</v>
      </c>
      <c r="C131">
        <v>1163.893</v>
      </c>
      <c r="D131">
        <v>522.92909999999995</v>
      </c>
      <c r="E131">
        <v>1082</v>
      </c>
      <c r="F131">
        <v>1082.8551</v>
      </c>
      <c r="H131">
        <f>SUM(H92:H130)</f>
        <v>44368.469199999992</v>
      </c>
      <c r="I131">
        <f>SUM(I92:I130)</f>
        <v>41495.301199999994</v>
      </c>
      <c r="M131">
        <v>2237</v>
      </c>
      <c r="N131">
        <v>1296</v>
      </c>
      <c r="O131">
        <v>1281</v>
      </c>
      <c r="R131">
        <v>1351</v>
      </c>
      <c r="S131">
        <v>1294</v>
      </c>
      <c r="AI131">
        <v>1185</v>
      </c>
      <c r="AJ131">
        <v>1097</v>
      </c>
      <c r="AK131">
        <v>479</v>
      </c>
      <c r="AL131">
        <v>1187.6051</v>
      </c>
      <c r="AM131">
        <v>1095.0808999999999</v>
      </c>
      <c r="AN131">
        <v>490.5394</v>
      </c>
      <c r="AO131">
        <f t="shared" ref="AO131:AO194" si="5">IF(ROW()-ROW($AL$2)+1&lt;=$AP$3, INT((ROW()-ROW($AL$2))/$AP$1)+1, "")</f>
        <v>4</v>
      </c>
      <c r="AU131" cm="1">
        <f t="array" ref="AU131">IF($AO131="","", $AL131 - INDEX($AS$2:$AS$11,$AO131))</f>
        <v>42.974428947368779</v>
      </c>
      <c r="AV131" cm="1">
        <f t="array" ref="AV131">IF($AO131="","", $AM131 - INDEX($AT$2:$AT$11,$AO131))</f>
        <v>-0.34349210526306706</v>
      </c>
      <c r="AW131">
        <f t="shared" ref="AW131:AW194" si="6">IF($AO131="","", $AU131*$AV131)</f>
        <v>-14.761377071609793</v>
      </c>
      <c r="BB131">
        <v>1188</v>
      </c>
      <c r="BC131">
        <v>1094</v>
      </c>
      <c r="BD131">
        <v>452</v>
      </c>
      <c r="BE131">
        <v>1189.1514999999999</v>
      </c>
      <c r="BF131">
        <v>1094.8052</v>
      </c>
      <c r="BG131">
        <v>460.1669</v>
      </c>
    </row>
    <row r="132" spans="1:59" x14ac:dyDescent="0.3">
      <c r="A132">
        <v>1155</v>
      </c>
      <c r="B132">
        <v>552</v>
      </c>
      <c r="C132">
        <v>1156.3045</v>
      </c>
      <c r="D132">
        <v>600.78970000000004</v>
      </c>
      <c r="E132">
        <v>1083</v>
      </c>
      <c r="F132">
        <v>1082.2665</v>
      </c>
      <c r="R132">
        <v>1201</v>
      </c>
      <c r="S132">
        <v>1156</v>
      </c>
      <c r="AI132">
        <v>1185</v>
      </c>
      <c r="AJ132">
        <v>1094</v>
      </c>
      <c r="AK132">
        <v>502</v>
      </c>
      <c r="AL132">
        <v>1183.7897</v>
      </c>
      <c r="AM132">
        <v>1094.5337999999999</v>
      </c>
      <c r="AN132">
        <v>505.86799999999999</v>
      </c>
      <c r="AO132">
        <f t="shared" si="5"/>
        <v>4</v>
      </c>
      <c r="AU132" cm="1">
        <f t="array" ref="AU132">IF($AO132="","", $AL132 - INDEX($AS$2:$AS$11,$AO132))</f>
        <v>39.159028947368824</v>
      </c>
      <c r="AV132" cm="1">
        <f t="array" ref="AV132">IF($AO132="","", $AM132 - INDEX($AT$2:$AT$11,$AO132))</f>
        <v>-0.89059210526306742</v>
      </c>
      <c r="AW132">
        <f t="shared" si="6"/>
        <v>-34.874722030294599</v>
      </c>
      <c r="BB132">
        <v>1186</v>
      </c>
      <c r="BC132">
        <v>1093</v>
      </c>
      <c r="BD132">
        <v>476</v>
      </c>
      <c r="BE132">
        <v>1185.0826999999999</v>
      </c>
      <c r="BF132">
        <v>1094.2176999999999</v>
      </c>
      <c r="BG132">
        <v>478.18169999999998</v>
      </c>
    </row>
    <row r="133" spans="1:59" x14ac:dyDescent="0.3">
      <c r="A133">
        <v>1150</v>
      </c>
      <c r="B133">
        <v>634</v>
      </c>
      <c r="C133">
        <v>1148.1199999999999</v>
      </c>
      <c r="D133">
        <v>692.83299999999997</v>
      </c>
      <c r="E133">
        <v>1081</v>
      </c>
      <c r="F133">
        <v>1081.7655999999999</v>
      </c>
      <c r="R133">
        <v>1079</v>
      </c>
      <c r="S133">
        <v>1045</v>
      </c>
      <c r="AI133">
        <v>1179</v>
      </c>
      <c r="AJ133">
        <v>1094</v>
      </c>
      <c r="AK133">
        <v>537</v>
      </c>
      <c r="AL133">
        <v>1178.8706999999999</v>
      </c>
      <c r="AM133">
        <v>1094.0110999999999</v>
      </c>
      <c r="AN133">
        <v>538.12829999999997</v>
      </c>
      <c r="AO133">
        <f t="shared" si="5"/>
        <v>4</v>
      </c>
      <c r="AU133" cm="1">
        <f t="array" ref="AU133">IF($AO133="","", $AL133 - INDEX($AS$2:$AS$11,$AO133))</f>
        <v>34.240028947368728</v>
      </c>
      <c r="AV133" cm="1">
        <f t="array" ref="AV133">IF($AO133="","", $AM133 - INDEX($AT$2:$AT$11,$AO133))</f>
        <v>-1.4132921052630536</v>
      </c>
      <c r="AW133">
        <f t="shared" si="6"/>
        <v>-48.391162595294645</v>
      </c>
      <c r="BB133">
        <v>1179</v>
      </c>
      <c r="BC133">
        <v>1092</v>
      </c>
      <c r="BD133">
        <v>509</v>
      </c>
      <c r="BE133">
        <v>1179.8739</v>
      </c>
      <c r="BF133">
        <v>1093.6584</v>
      </c>
      <c r="BG133">
        <v>513.95680000000004</v>
      </c>
    </row>
    <row r="134" spans="1:59" x14ac:dyDescent="0.3">
      <c r="A134">
        <v>1143</v>
      </c>
      <c r="B134">
        <v>735</v>
      </c>
      <c r="C134">
        <v>1139.5746999999999</v>
      </c>
      <c r="D134">
        <v>796.40899999999999</v>
      </c>
      <c r="E134">
        <v>1082</v>
      </c>
      <c r="F134">
        <v>1081.367</v>
      </c>
      <c r="R134">
        <v>904</v>
      </c>
      <c r="S134">
        <v>954</v>
      </c>
      <c r="AI134">
        <v>1176</v>
      </c>
      <c r="AJ134">
        <v>1091</v>
      </c>
      <c r="AK134">
        <v>585</v>
      </c>
      <c r="AL134">
        <v>1172.9884</v>
      </c>
      <c r="AM134">
        <v>1093.5275999999999</v>
      </c>
      <c r="AN134">
        <v>586.40179999999998</v>
      </c>
      <c r="AO134">
        <f t="shared" si="5"/>
        <v>4</v>
      </c>
      <c r="AU134" cm="1">
        <f t="array" ref="AU134">IF($AO134="","", $AL134 - INDEX($AS$2:$AS$11,$AO134))</f>
        <v>28.357728947368742</v>
      </c>
      <c r="AV134" cm="1">
        <f t="array" ref="AV134">IF($AO134="","", $AM134 - INDEX($AT$2:$AT$11,$AO134))</f>
        <v>-1.8967921052631027</v>
      </c>
      <c r="AW134">
        <f t="shared" si="6"/>
        <v>-53.788716390559983</v>
      </c>
      <c r="BB134">
        <v>1173</v>
      </c>
      <c r="BC134">
        <v>1093</v>
      </c>
      <c r="BD134">
        <v>561</v>
      </c>
      <c r="BE134">
        <v>1173.6744000000001</v>
      </c>
      <c r="BF134">
        <v>1093.1432</v>
      </c>
      <c r="BG134">
        <v>566.46069999999997</v>
      </c>
    </row>
    <row r="135" spans="1:59" x14ac:dyDescent="0.3">
      <c r="A135">
        <v>1132</v>
      </c>
      <c r="B135">
        <v>945</v>
      </c>
      <c r="C135">
        <v>1130.9141999999999</v>
      </c>
      <c r="D135">
        <v>908.53560000000004</v>
      </c>
      <c r="E135">
        <v>1079</v>
      </c>
      <c r="F135">
        <v>1081.0824</v>
      </c>
      <c r="R135">
        <v>862</v>
      </c>
      <c r="S135">
        <v>887</v>
      </c>
      <c r="AI135">
        <v>1166</v>
      </c>
      <c r="AJ135">
        <v>1091</v>
      </c>
      <c r="AK135">
        <v>643</v>
      </c>
      <c r="AL135">
        <v>1166.3108</v>
      </c>
      <c r="AM135">
        <v>1093.0966000000001</v>
      </c>
      <c r="AN135">
        <v>649.31200000000001</v>
      </c>
      <c r="AO135">
        <f t="shared" si="5"/>
        <v>4</v>
      </c>
      <c r="AU135" cm="1">
        <f t="array" ref="AU135">IF($AO135="","", $AL135 - INDEX($AS$2:$AS$11,$AO135))</f>
        <v>21.680128947368758</v>
      </c>
      <c r="AV135" cm="1">
        <f t="array" ref="AV135">IF($AO135="","", $AM135 - INDEX($AT$2:$AT$11,$AO135))</f>
        <v>-2.3277921052629154</v>
      </c>
      <c r="AW135">
        <f t="shared" si="6"/>
        <v>-50.46683300476699</v>
      </c>
      <c r="BB135">
        <v>1168</v>
      </c>
      <c r="BC135">
        <v>1091</v>
      </c>
      <c r="BD135">
        <v>618</v>
      </c>
      <c r="BE135">
        <v>1166.6622</v>
      </c>
      <c r="BF135">
        <v>1092.6865</v>
      </c>
      <c r="BG135">
        <v>634.17960000000005</v>
      </c>
    </row>
    <row r="136" spans="1:59" x14ac:dyDescent="0.3">
      <c r="A136">
        <v>1113</v>
      </c>
      <c r="B136">
        <v>1040</v>
      </c>
      <c r="C136">
        <v>1122.3874000000001</v>
      </c>
      <c r="D136">
        <v>1025.9843000000001</v>
      </c>
      <c r="E136">
        <v>1077</v>
      </c>
      <c r="F136">
        <v>1080.9203</v>
      </c>
      <c r="R136">
        <v>853</v>
      </c>
      <c r="S136">
        <v>860</v>
      </c>
      <c r="AI136">
        <v>1160</v>
      </c>
      <c r="AJ136">
        <v>1093</v>
      </c>
      <c r="AK136">
        <v>711</v>
      </c>
      <c r="AL136">
        <v>1159.0286000000001</v>
      </c>
      <c r="AM136">
        <v>1092.7302</v>
      </c>
      <c r="AN136">
        <v>725.0643</v>
      </c>
      <c r="AO136">
        <f t="shared" si="5"/>
        <v>4</v>
      </c>
      <c r="AU136" cm="1">
        <f t="array" ref="AU136">IF($AO136="","", $AL136 - INDEX($AS$2:$AS$11,$AO136))</f>
        <v>14.397928947368882</v>
      </c>
      <c r="AV136" cm="1">
        <f t="array" ref="AV136">IF($AO136="","", $AM136 - INDEX($AT$2:$AT$11,$AO136))</f>
        <v>-2.6941921052630278</v>
      </c>
      <c r="AW136">
        <f t="shared" si="6"/>
        <v>-38.790786502139255</v>
      </c>
      <c r="BB136">
        <v>1159</v>
      </c>
      <c r="BC136">
        <v>1091</v>
      </c>
      <c r="BD136">
        <v>689</v>
      </c>
      <c r="BE136">
        <v>1159.0385000000001</v>
      </c>
      <c r="BF136">
        <v>1092.3012000000001</v>
      </c>
      <c r="BG136">
        <v>715.16089999999997</v>
      </c>
    </row>
    <row r="137" spans="1:59" x14ac:dyDescent="0.3">
      <c r="A137">
        <v>1111</v>
      </c>
      <c r="B137">
        <v>1191</v>
      </c>
      <c r="C137">
        <v>1114.2391</v>
      </c>
      <c r="D137">
        <v>1145.3739</v>
      </c>
      <c r="E137">
        <v>1080</v>
      </c>
      <c r="F137">
        <v>1080.8855000000001</v>
      </c>
      <c r="R137">
        <v>866</v>
      </c>
      <c r="S137">
        <v>846</v>
      </c>
      <c r="AI137">
        <v>1154</v>
      </c>
      <c r="AJ137">
        <v>1094</v>
      </c>
      <c r="AK137">
        <v>790</v>
      </c>
      <c r="AL137">
        <v>1151.3495</v>
      </c>
      <c r="AM137">
        <v>1092.4386999999999</v>
      </c>
      <c r="AN137">
        <v>811.49789999999996</v>
      </c>
      <c r="AO137">
        <f t="shared" si="5"/>
        <v>4</v>
      </c>
      <c r="AU137" cm="1">
        <f t="array" ref="AU137">IF($AO137="","", $AL137 - INDEX($AS$2:$AS$11,$AO137))</f>
        <v>6.7188289473688201</v>
      </c>
      <c r="AV137" cm="1">
        <f t="array" ref="AV137">IF($AO137="","", $AM137 - INDEX($AT$2:$AT$11,$AO137))</f>
        <v>-2.9856921052630696</v>
      </c>
      <c r="AW137">
        <f t="shared" si="6"/>
        <v>-20.060354544772068</v>
      </c>
      <c r="BB137">
        <v>1152</v>
      </c>
      <c r="BC137">
        <v>1092</v>
      </c>
      <c r="BD137">
        <v>770</v>
      </c>
      <c r="BE137">
        <v>1151.0225</v>
      </c>
      <c r="BF137">
        <v>1091.9981</v>
      </c>
      <c r="BG137">
        <v>807.0702</v>
      </c>
    </row>
    <row r="138" spans="1:59" x14ac:dyDescent="0.3">
      <c r="A138">
        <v>1104</v>
      </c>
      <c r="B138">
        <v>1296</v>
      </c>
      <c r="C138">
        <v>1106.7035000000001</v>
      </c>
      <c r="D138">
        <v>1263.268</v>
      </c>
      <c r="E138">
        <v>1079</v>
      </c>
      <c r="F138">
        <v>1080.9791</v>
      </c>
      <c r="R138">
        <v>914</v>
      </c>
      <c r="S138">
        <v>879</v>
      </c>
      <c r="AI138">
        <v>1146</v>
      </c>
      <c r="AJ138">
        <v>1094</v>
      </c>
      <c r="AK138">
        <v>879</v>
      </c>
      <c r="AL138">
        <v>1143.4929999999999</v>
      </c>
      <c r="AM138">
        <v>1092.2299</v>
      </c>
      <c r="AN138">
        <v>906.14760000000001</v>
      </c>
      <c r="AO138">
        <f t="shared" si="5"/>
        <v>4</v>
      </c>
      <c r="AU138" cm="1">
        <f t="array" ref="AU138">IF($AO138="","", $AL138 - INDEX($AS$2:$AS$11,$AO138))</f>
        <v>-1.1376710526312763</v>
      </c>
      <c r="AV138" cm="1">
        <f t="array" ref="AV138">IF($AO138="","", $AM138 - INDEX($AT$2:$AT$11,$AO138))</f>
        <v>-3.1944921052629525</v>
      </c>
      <c r="AW138">
        <f t="shared" si="6"/>
        <v>3.6342811960168051</v>
      </c>
      <c r="BB138">
        <v>1143</v>
      </c>
      <c r="BC138">
        <v>1092</v>
      </c>
      <c r="BD138">
        <v>866</v>
      </c>
      <c r="BE138">
        <v>1142.8444999999999</v>
      </c>
      <c r="BF138">
        <v>1091.7858000000001</v>
      </c>
      <c r="BG138">
        <v>907.25850000000003</v>
      </c>
    </row>
    <row r="139" spans="1:59" x14ac:dyDescent="0.3">
      <c r="A139">
        <v>1096</v>
      </c>
      <c r="B139">
        <v>1404</v>
      </c>
      <c r="C139">
        <v>1099.9966999999999</v>
      </c>
      <c r="D139">
        <v>1376.2736</v>
      </c>
      <c r="E139">
        <v>1081</v>
      </c>
      <c r="F139">
        <v>1081.1985999999999</v>
      </c>
      <c r="R139">
        <v>998</v>
      </c>
      <c r="S139">
        <v>943</v>
      </c>
      <c r="AI139">
        <v>1136</v>
      </c>
      <c r="AJ139">
        <v>1092</v>
      </c>
      <c r="AK139">
        <v>974</v>
      </c>
      <c r="AL139">
        <v>1135.6832999999999</v>
      </c>
      <c r="AM139">
        <v>1092.1098999999999</v>
      </c>
      <c r="AN139">
        <v>1006.3146</v>
      </c>
      <c r="AO139">
        <f t="shared" si="5"/>
        <v>4</v>
      </c>
      <c r="AU139" cm="1">
        <f t="array" ref="AU139">IF($AO139="","", $AL139 - INDEX($AS$2:$AS$11,$AO139))</f>
        <v>-8.9473710526312971</v>
      </c>
      <c r="AV139" cm="1">
        <f t="array" ref="AV139">IF($AO139="","", $AM139 - INDEX($AT$2:$AT$11,$AO139))</f>
        <v>-3.3144921052630707</v>
      </c>
      <c r="AW139">
        <f t="shared" si="6"/>
        <v>29.655990716805764</v>
      </c>
      <c r="BB139">
        <v>1140</v>
      </c>
      <c r="BC139">
        <v>1092</v>
      </c>
      <c r="BD139">
        <v>966</v>
      </c>
      <c r="BE139">
        <v>1134.7396000000001</v>
      </c>
      <c r="BF139">
        <v>1091.6701</v>
      </c>
      <c r="BG139">
        <v>1012.8389</v>
      </c>
    </row>
    <row r="140" spans="1:59" x14ac:dyDescent="0.3">
      <c r="A140">
        <v>1096</v>
      </c>
      <c r="B140">
        <v>1515</v>
      </c>
      <c r="C140">
        <v>1094.3114</v>
      </c>
      <c r="D140">
        <v>1481.1396999999999</v>
      </c>
      <c r="E140">
        <v>1083</v>
      </c>
      <c r="F140">
        <v>1081.5376000000001</v>
      </c>
      <c r="R140">
        <v>1093</v>
      </c>
      <c r="S140">
        <v>1034</v>
      </c>
      <c r="AI140">
        <v>1130</v>
      </c>
      <c r="AJ140">
        <v>1091</v>
      </c>
      <c r="AK140">
        <v>1074</v>
      </c>
      <c r="AL140">
        <v>1128.1434999999999</v>
      </c>
      <c r="AM140">
        <v>1092.0817999999999</v>
      </c>
      <c r="AN140">
        <v>1109.1439</v>
      </c>
      <c r="AO140">
        <f t="shared" si="5"/>
        <v>4</v>
      </c>
      <c r="AU140" cm="1">
        <f t="array" ref="AU140">IF($AO140="","", $AL140 - INDEX($AS$2:$AS$11,$AO140))</f>
        <v>-16.487171052631311</v>
      </c>
      <c r="AV140" cm="1">
        <f t="array" ref="AV140">IF($AO140="","", $AM140 - INDEX($AT$2:$AT$11,$AO140))</f>
        <v>-3.3425921052630656</v>
      </c>
      <c r="AW140">
        <f t="shared" si="6"/>
        <v>55.109887798647165</v>
      </c>
      <c r="BB140">
        <v>1129</v>
      </c>
      <c r="BC140">
        <v>1090</v>
      </c>
      <c r="BD140">
        <v>1168</v>
      </c>
      <c r="BE140">
        <v>1126.9407000000001</v>
      </c>
      <c r="BF140">
        <v>1091.6542999999999</v>
      </c>
      <c r="BG140">
        <v>1120.7699</v>
      </c>
    </row>
    <row r="141" spans="1:59" x14ac:dyDescent="0.3">
      <c r="A141">
        <v>1088</v>
      </c>
      <c r="B141">
        <v>1609</v>
      </c>
      <c r="C141">
        <v>1089.8105</v>
      </c>
      <c r="D141">
        <v>1574.8502000000001</v>
      </c>
      <c r="E141">
        <v>1082</v>
      </c>
      <c r="F141">
        <v>1081.9866</v>
      </c>
      <c r="R141">
        <v>1231</v>
      </c>
      <c r="S141">
        <v>1137</v>
      </c>
      <c r="AI141">
        <v>1106</v>
      </c>
      <c r="AJ141">
        <v>1082</v>
      </c>
      <c r="AK141">
        <v>1282</v>
      </c>
      <c r="AL141">
        <v>1121.0889</v>
      </c>
      <c r="AM141">
        <v>1092.1464000000001</v>
      </c>
      <c r="AN141">
        <v>1211.7053000000001</v>
      </c>
      <c r="AO141">
        <f t="shared" si="5"/>
        <v>4</v>
      </c>
      <c r="AU141" cm="1">
        <f t="array" ref="AU141">IF($AO141="","", $AL141 - INDEX($AS$2:$AS$11,$AO141))</f>
        <v>-23.541771052631248</v>
      </c>
      <c r="AV141" cm="1">
        <f t="array" ref="AV141">IF($AO141="","", $AM141 - INDEX($AT$2:$AT$11,$AO141))</f>
        <v>-3.2779921052629106</v>
      </c>
      <c r="AW141">
        <f t="shared" si="6"/>
        <v>77.169739654432149</v>
      </c>
      <c r="BB141">
        <v>1118</v>
      </c>
      <c r="BC141">
        <v>1092</v>
      </c>
      <c r="BD141">
        <v>1288</v>
      </c>
      <c r="BE141">
        <v>1119.672</v>
      </c>
      <c r="BF141">
        <v>1091.7387000000001</v>
      </c>
      <c r="BG141">
        <v>1227.9434000000001</v>
      </c>
    </row>
    <row r="142" spans="1:59" x14ac:dyDescent="0.3">
      <c r="A142">
        <v>1086</v>
      </c>
      <c r="B142">
        <v>1688</v>
      </c>
      <c r="C142">
        <v>1086.6229000000001</v>
      </c>
      <c r="D142">
        <v>1654.711</v>
      </c>
      <c r="E142">
        <v>1082</v>
      </c>
      <c r="F142">
        <v>1082.5326</v>
      </c>
      <c r="R142">
        <v>1373</v>
      </c>
      <c r="S142">
        <v>1270</v>
      </c>
      <c r="AI142">
        <v>1110</v>
      </c>
      <c r="AJ142">
        <v>1092</v>
      </c>
      <c r="AK142">
        <v>1350</v>
      </c>
      <c r="AL142">
        <v>1114.7211</v>
      </c>
      <c r="AM142">
        <v>1092.3018999999999</v>
      </c>
      <c r="AN142">
        <v>1311.0769</v>
      </c>
      <c r="AO142">
        <f t="shared" si="5"/>
        <v>4</v>
      </c>
      <c r="AU142" cm="1">
        <f t="array" ref="AU142">IF($AO142="","", $AL142 - INDEX($AS$2:$AS$11,$AO142))</f>
        <v>-29.909571052631236</v>
      </c>
      <c r="AV142" cm="1">
        <f t="array" ref="AV142">IF($AO142="","", $AM142 - INDEX($AT$2:$AT$11,$AO142))</f>
        <v>-3.1224921052630634</v>
      </c>
      <c r="AW142">
        <f t="shared" si="6"/>
        <v>93.39239948364569</v>
      </c>
      <c r="BB142">
        <v>1107</v>
      </c>
      <c r="BC142">
        <v>1090</v>
      </c>
      <c r="BD142">
        <v>1362</v>
      </c>
      <c r="BE142">
        <v>1113.1427000000001</v>
      </c>
      <c r="BF142">
        <v>1091.9209000000001</v>
      </c>
      <c r="BG142">
        <v>1331.2738999999999</v>
      </c>
    </row>
    <row r="143" spans="1:59" x14ac:dyDescent="0.3">
      <c r="A143">
        <v>1085</v>
      </c>
      <c r="B143">
        <v>1746</v>
      </c>
      <c r="C143">
        <v>1084.8398</v>
      </c>
      <c r="D143">
        <v>1718.4274</v>
      </c>
      <c r="E143">
        <v>1083</v>
      </c>
      <c r="F143">
        <v>1083.1602</v>
      </c>
      <c r="R143">
        <v>1530</v>
      </c>
      <c r="S143">
        <v>1429</v>
      </c>
      <c r="AI143">
        <v>1106</v>
      </c>
      <c r="AJ143">
        <v>1091</v>
      </c>
      <c r="AK143">
        <v>1434</v>
      </c>
      <c r="AL143">
        <v>1109.222</v>
      </c>
      <c r="AM143">
        <v>1092.5440000000001</v>
      </c>
      <c r="AN143">
        <v>1404.4283</v>
      </c>
      <c r="AO143">
        <f t="shared" si="5"/>
        <v>4</v>
      </c>
      <c r="AU143" cm="1">
        <f t="array" ref="AU143">IF($AO143="","", $AL143 - INDEX($AS$2:$AS$11,$AO143))</f>
        <v>-35.408671052631234</v>
      </c>
      <c r="AV143" cm="1">
        <f t="array" ref="AV143">IF($AO143="","", $AM143 - INDEX($AT$2:$AT$11,$AO143))</f>
        <v>-2.8803921052628993</v>
      </c>
      <c r="AW143">
        <f t="shared" si="6"/>
        <v>101.99085655784997</v>
      </c>
      <c r="BB143">
        <v>1104</v>
      </c>
      <c r="BC143">
        <v>1091</v>
      </c>
      <c r="BD143">
        <v>1454</v>
      </c>
      <c r="BE143">
        <v>1107.5406</v>
      </c>
      <c r="BF143">
        <v>1092.1957</v>
      </c>
      <c r="BG143">
        <v>1427.7877000000001</v>
      </c>
    </row>
    <row r="144" spans="1:59" x14ac:dyDescent="0.3">
      <c r="A144">
        <v>1079</v>
      </c>
      <c r="B144">
        <v>1779</v>
      </c>
      <c r="C144">
        <v>1084.5119</v>
      </c>
      <c r="D144">
        <v>1764.1696999999999</v>
      </c>
      <c r="E144">
        <v>1084</v>
      </c>
      <c r="F144">
        <v>1083.8514</v>
      </c>
      <c r="R144">
        <v>1695</v>
      </c>
      <c r="S144">
        <v>1586</v>
      </c>
      <c r="AI144">
        <v>1099</v>
      </c>
      <c r="AJ144">
        <v>1092</v>
      </c>
      <c r="AK144">
        <v>1528</v>
      </c>
      <c r="AL144">
        <v>1104.7491</v>
      </c>
      <c r="AM144">
        <v>1092.8659</v>
      </c>
      <c r="AN144">
        <v>1489.1005</v>
      </c>
      <c r="AO144">
        <f t="shared" si="5"/>
        <v>4</v>
      </c>
      <c r="AU144" cm="1">
        <f t="array" ref="AU144">IF($AO144="","", $AL144 - INDEX($AS$2:$AS$11,$AO144))</f>
        <v>-39.881571052631216</v>
      </c>
      <c r="AV144" cm="1">
        <f t="array" ref="AV144">IF($AO144="","", $AM144 - INDEX($AT$2:$AT$11,$AO144))</f>
        <v>-2.5584921052629852</v>
      </c>
      <c r="AW144">
        <f t="shared" si="6"/>
        <v>102.03668468364177</v>
      </c>
      <c r="BB144">
        <v>1101</v>
      </c>
      <c r="BC144">
        <v>1093</v>
      </c>
      <c r="BD144">
        <v>1543</v>
      </c>
      <c r="BE144">
        <v>1103.0268000000001</v>
      </c>
      <c r="BF144">
        <v>1092.5553</v>
      </c>
      <c r="BG144">
        <v>1514.7080000000001</v>
      </c>
    </row>
    <row r="145" spans="1:59" x14ac:dyDescent="0.3">
      <c r="A145">
        <v>1084</v>
      </c>
      <c r="B145">
        <v>1789</v>
      </c>
      <c r="C145">
        <v>1085.6482000000001</v>
      </c>
      <c r="D145">
        <v>1790.6261</v>
      </c>
      <c r="E145">
        <v>1084</v>
      </c>
      <c r="F145">
        <v>1084.5864999999999</v>
      </c>
      <c r="R145">
        <v>1870</v>
      </c>
      <c r="S145">
        <v>1753</v>
      </c>
      <c r="AI145">
        <v>1098</v>
      </c>
      <c r="AJ145">
        <v>1091</v>
      </c>
      <c r="AK145">
        <v>1600</v>
      </c>
      <c r="AL145">
        <v>1101.4304</v>
      </c>
      <c r="AM145">
        <v>1093.2587000000001</v>
      </c>
      <c r="AN145">
        <v>1562.6813</v>
      </c>
      <c r="AO145">
        <f t="shared" si="5"/>
        <v>4</v>
      </c>
      <c r="AU145" cm="1">
        <f t="array" ref="AU145">IF($AO145="","", $AL145 - INDEX($AS$2:$AS$11,$AO145))</f>
        <v>-43.200271052631251</v>
      </c>
      <c r="AV145" cm="1">
        <f t="array" ref="AV145">IF($AO145="","", $AM145 - INDEX($AT$2:$AT$11,$AO145))</f>
        <v>-2.1656921052629059</v>
      </c>
      <c r="AW145">
        <f t="shared" si="6"/>
        <v>93.558485963901148</v>
      </c>
      <c r="BB145">
        <v>1093</v>
      </c>
      <c r="BC145">
        <v>1093</v>
      </c>
      <c r="BD145">
        <v>1614</v>
      </c>
      <c r="BE145">
        <v>1099.7312999999999</v>
      </c>
      <c r="BF145">
        <v>1092.9893999999999</v>
      </c>
      <c r="BG145">
        <v>1589.5350000000001</v>
      </c>
    </row>
    <row r="146" spans="1:59" x14ac:dyDescent="0.3">
      <c r="A146">
        <v>1088</v>
      </c>
      <c r="B146">
        <v>1784</v>
      </c>
      <c r="C146">
        <v>1088.2154</v>
      </c>
      <c r="D146">
        <v>1797.0393999999999</v>
      </c>
      <c r="E146">
        <v>1083</v>
      </c>
      <c r="F146">
        <v>1085.3445999999999</v>
      </c>
      <c r="R146">
        <v>2035</v>
      </c>
      <c r="S146">
        <v>1929</v>
      </c>
      <c r="AI146">
        <v>1098</v>
      </c>
      <c r="AJ146">
        <v>1095</v>
      </c>
      <c r="AK146">
        <v>1658</v>
      </c>
      <c r="AL146">
        <v>1099.3615</v>
      </c>
      <c r="AM146">
        <v>1093.7114999999999</v>
      </c>
      <c r="AN146">
        <v>1623.0732</v>
      </c>
      <c r="AO146">
        <f t="shared" si="5"/>
        <v>4</v>
      </c>
      <c r="AU146" cm="1">
        <f t="array" ref="AU146">IF($AO146="","", $AL146 - INDEX($AS$2:$AS$11,$AO146))</f>
        <v>-45.269171052631236</v>
      </c>
      <c r="AV146" cm="1">
        <f t="array" ref="AV146">IF($AO146="","", $AM146 - INDEX($AT$2:$AT$11,$AO146))</f>
        <v>-1.7128921052631085</v>
      </c>
      <c r="AW146">
        <f t="shared" si="6"/>
        <v>77.541205707857287</v>
      </c>
      <c r="BB146">
        <v>1094</v>
      </c>
      <c r="BC146">
        <v>1093</v>
      </c>
      <c r="BD146">
        <v>1671</v>
      </c>
      <c r="BE146">
        <v>1097.749</v>
      </c>
      <c r="BF146">
        <v>1093.4857999999999</v>
      </c>
      <c r="BG146">
        <v>1650.1175000000001</v>
      </c>
    </row>
    <row r="147" spans="1:59" x14ac:dyDescent="0.3">
      <c r="A147">
        <v>1093</v>
      </c>
      <c r="B147">
        <v>1758</v>
      </c>
      <c r="C147">
        <v>1092.1393</v>
      </c>
      <c r="D147">
        <v>1783.2291</v>
      </c>
      <c r="E147">
        <v>1083</v>
      </c>
      <c r="F147">
        <v>1086.1041</v>
      </c>
      <c r="R147">
        <v>2206</v>
      </c>
      <c r="S147">
        <v>2095</v>
      </c>
      <c r="AI147">
        <v>1098</v>
      </c>
      <c r="AJ147">
        <v>1096</v>
      </c>
      <c r="AK147">
        <v>1706</v>
      </c>
      <c r="AL147">
        <v>1098.6023</v>
      </c>
      <c r="AM147">
        <v>1094.2118</v>
      </c>
      <c r="AN147">
        <v>1668.5525</v>
      </c>
      <c r="AO147">
        <f t="shared" si="5"/>
        <v>4</v>
      </c>
      <c r="AU147" cm="1">
        <f t="array" ref="AU147">IF($AO147="","", $AL147 - INDEX($AS$2:$AS$11,$AO147))</f>
        <v>-46.028371052631201</v>
      </c>
      <c r="AV147" cm="1">
        <f t="array" ref="AV147">IF($AO147="","", $AM147 - INDEX($AT$2:$AT$11,$AO147))</f>
        <v>-1.2125921052629565</v>
      </c>
      <c r="AW147">
        <f t="shared" si="6"/>
        <v>55.813639356534594</v>
      </c>
      <c r="BB147">
        <v>1096</v>
      </c>
      <c r="BC147">
        <v>1094</v>
      </c>
      <c r="BD147">
        <v>1716</v>
      </c>
      <c r="BE147">
        <v>1097.1371999999999</v>
      </c>
      <c r="BF147">
        <v>1094.0306</v>
      </c>
      <c r="BG147">
        <v>1694.7146</v>
      </c>
    </row>
    <row r="148" spans="1:59" x14ac:dyDescent="0.3">
      <c r="A148">
        <v>1098</v>
      </c>
      <c r="B148">
        <v>1726</v>
      </c>
      <c r="C148">
        <v>1097.3065999999999</v>
      </c>
      <c r="D148">
        <v>1749.5953999999999</v>
      </c>
      <c r="E148">
        <v>1087</v>
      </c>
      <c r="F148">
        <v>1086.8434999999999</v>
      </c>
      <c r="R148">
        <v>2363</v>
      </c>
      <c r="S148">
        <v>2263</v>
      </c>
      <c r="AI148">
        <v>1098</v>
      </c>
      <c r="AJ148">
        <v>1095</v>
      </c>
      <c r="AK148">
        <v>1722</v>
      </c>
      <c r="AL148">
        <v>1099.1757</v>
      </c>
      <c r="AM148">
        <v>1094.7456</v>
      </c>
      <c r="AN148">
        <v>1697.8172999999999</v>
      </c>
      <c r="AO148">
        <f t="shared" si="5"/>
        <v>4</v>
      </c>
      <c r="AU148" cm="1">
        <f t="array" ref="AU148">IF($AO148="","", $AL148 - INDEX($AS$2:$AS$11,$AO148))</f>
        <v>-45.454971052631208</v>
      </c>
      <c r="AV148" cm="1">
        <f t="array" ref="AV148">IF($AO148="","", $AM148 - INDEX($AT$2:$AT$11,$AO148))</f>
        <v>-0.67879210526302813</v>
      </c>
      <c r="AW148">
        <f t="shared" si="6"/>
        <v>30.854475495485541</v>
      </c>
      <c r="BB148">
        <v>1099</v>
      </c>
      <c r="BC148">
        <v>1093</v>
      </c>
      <c r="BD148">
        <v>1735</v>
      </c>
      <c r="BE148">
        <v>1097.9139</v>
      </c>
      <c r="BF148">
        <v>1094.6083000000001</v>
      </c>
      <c r="BG148">
        <v>1722.0454</v>
      </c>
    </row>
    <row r="149" spans="1:59" x14ac:dyDescent="0.3">
      <c r="A149">
        <v>1104</v>
      </c>
      <c r="B149">
        <v>1679</v>
      </c>
      <c r="C149">
        <v>1103.5682999999999</v>
      </c>
      <c r="D149">
        <v>1697.1081999999999</v>
      </c>
      <c r="E149">
        <v>1088</v>
      </c>
      <c r="F149">
        <v>1087.5419999999999</v>
      </c>
      <c r="R149">
        <v>2499</v>
      </c>
      <c r="S149">
        <v>2406</v>
      </c>
      <c r="AI149">
        <v>1102</v>
      </c>
      <c r="AJ149">
        <v>1094</v>
      </c>
      <c r="AK149">
        <v>1719</v>
      </c>
      <c r="AL149">
        <v>1101.0669</v>
      </c>
      <c r="AM149">
        <v>1095.2981</v>
      </c>
      <c r="AN149">
        <v>1710.0241000000001</v>
      </c>
      <c r="AO149">
        <f t="shared" si="5"/>
        <v>4</v>
      </c>
      <c r="AU149" cm="1">
        <f t="array" ref="AU149">IF($AO149="","", $AL149 - INDEX($AS$2:$AS$11,$AO149))</f>
        <v>-43.563771052631182</v>
      </c>
      <c r="AV149" cm="1">
        <f t="array" ref="AV149">IF($AO149="","", $AM149 - INDEX($AT$2:$AT$11,$AO149))</f>
        <v>-0.12629210526301904</v>
      </c>
      <c r="AW149">
        <f t="shared" si="6"/>
        <v>5.5017603594329589</v>
      </c>
      <c r="BB149">
        <v>1098</v>
      </c>
      <c r="BC149">
        <v>1093</v>
      </c>
      <c r="BD149">
        <v>1731</v>
      </c>
      <c r="BE149">
        <v>1100.0569</v>
      </c>
      <c r="BF149">
        <v>1095.2027</v>
      </c>
      <c r="BG149">
        <v>1731.3255999999999</v>
      </c>
    </row>
    <row r="150" spans="1:59" x14ac:dyDescent="0.3">
      <c r="A150">
        <v>1111</v>
      </c>
      <c r="B150">
        <v>1617</v>
      </c>
      <c r="C150">
        <v>1110.7440999999999</v>
      </c>
      <c r="D150">
        <v>1627.2777000000001</v>
      </c>
      <c r="E150">
        <v>1088</v>
      </c>
      <c r="F150">
        <v>1088.1796999999999</v>
      </c>
      <c r="R150">
        <v>2625</v>
      </c>
      <c r="S150">
        <v>2542</v>
      </c>
      <c r="AI150">
        <v>1099</v>
      </c>
      <c r="AJ150">
        <v>1096</v>
      </c>
      <c r="AK150">
        <v>1699</v>
      </c>
      <c r="AL150">
        <v>1104.2236</v>
      </c>
      <c r="AM150">
        <v>1095.8539000000001</v>
      </c>
      <c r="AN150">
        <v>1704.8108999999999</v>
      </c>
      <c r="AO150">
        <f t="shared" si="5"/>
        <v>4</v>
      </c>
      <c r="AU150" cm="1">
        <f t="array" ref="AU150">IF($AO150="","", $AL150 - INDEX($AS$2:$AS$11,$AO150))</f>
        <v>-40.407071052631181</v>
      </c>
      <c r="AV150" cm="1">
        <f t="array" ref="AV150">IF($AO150="","", $AM150 - INDEX($AT$2:$AT$11,$AO150))</f>
        <v>0.42950789473707118</v>
      </c>
      <c r="AW150">
        <f t="shared" si="6"/>
        <v>-17.355156020306868</v>
      </c>
      <c r="BB150">
        <v>1104</v>
      </c>
      <c r="BC150">
        <v>1095</v>
      </c>
      <c r="BD150">
        <v>1712</v>
      </c>
      <c r="BE150">
        <v>1103.5053</v>
      </c>
      <c r="BF150">
        <v>1095.7972</v>
      </c>
      <c r="BG150">
        <v>1722.2896000000001</v>
      </c>
    </row>
    <row r="151" spans="1:59" x14ac:dyDescent="0.3">
      <c r="A151">
        <v>1119</v>
      </c>
      <c r="B151">
        <v>1539</v>
      </c>
      <c r="C151">
        <v>1118.6276</v>
      </c>
      <c r="D151">
        <v>1542.1112000000001</v>
      </c>
      <c r="E151">
        <v>1091</v>
      </c>
      <c r="F151">
        <v>1088.7389000000001</v>
      </c>
      <c r="AI151">
        <v>1107</v>
      </c>
      <c r="AJ151">
        <v>1096</v>
      </c>
      <c r="AK151">
        <v>1664</v>
      </c>
      <c r="AL151">
        <v>1108.5579</v>
      </c>
      <c r="AM151">
        <v>1096.3975</v>
      </c>
      <c r="AN151">
        <v>1682.3069</v>
      </c>
      <c r="AO151">
        <f t="shared" si="5"/>
        <v>4</v>
      </c>
      <c r="AU151" cm="1">
        <f t="array" ref="AU151">IF($AO151="","", $AL151 - INDEX($AS$2:$AS$11,$AO151))</f>
        <v>-36.072771052631197</v>
      </c>
      <c r="AV151" cm="1">
        <f t="array" ref="AV151">IF($AO151="","", $AM151 - INDEX($AT$2:$AT$11,$AO151))</f>
        <v>0.97310789473704062</v>
      </c>
      <c r="AW151">
        <f t="shared" si="6"/>
        <v>-35.102698296357204</v>
      </c>
      <c r="BB151">
        <v>1109</v>
      </c>
      <c r="BC151">
        <v>1095</v>
      </c>
      <c r="BD151">
        <v>1671</v>
      </c>
      <c r="BE151">
        <v>1108.1603</v>
      </c>
      <c r="BF151">
        <v>1096.3751999999999</v>
      </c>
      <c r="BG151">
        <v>1695.1977999999999</v>
      </c>
    </row>
    <row r="152" spans="1:59" x14ac:dyDescent="0.3">
      <c r="A152">
        <v>1128</v>
      </c>
      <c r="B152">
        <v>1441</v>
      </c>
      <c r="C152">
        <v>1126.992</v>
      </c>
      <c r="D152">
        <v>1444.0546999999999</v>
      </c>
      <c r="E152">
        <v>1090</v>
      </c>
      <c r="F152">
        <v>1089.2038</v>
      </c>
      <c r="AI152">
        <v>1115</v>
      </c>
      <c r="AJ152">
        <v>1097</v>
      </c>
      <c r="AK152">
        <v>1614</v>
      </c>
      <c r="AL152">
        <v>1113.9484</v>
      </c>
      <c r="AM152">
        <v>1096.9137000000001</v>
      </c>
      <c r="AN152">
        <v>1643.1283000000001</v>
      </c>
      <c r="AO152">
        <f t="shared" si="5"/>
        <v>4</v>
      </c>
      <c r="AU152" cm="1">
        <f t="array" ref="AU152">IF($AO152="","", $AL152 - INDEX($AS$2:$AS$11,$AO152))</f>
        <v>-30.682271052631222</v>
      </c>
      <c r="AV152" cm="1">
        <f t="array" ref="AV152">IF($AO152="","", $AM152 - INDEX($AT$2:$AT$11,$AO152))</f>
        <v>1.4893078947370668</v>
      </c>
      <c r="AW152">
        <f t="shared" si="6"/>
        <v>-45.69534850714625</v>
      </c>
      <c r="BB152">
        <v>1114</v>
      </c>
      <c r="BC152">
        <v>1097</v>
      </c>
      <c r="BD152">
        <v>1625</v>
      </c>
      <c r="BE152">
        <v>1113.8887</v>
      </c>
      <c r="BF152">
        <v>1096.9204</v>
      </c>
      <c r="BG152">
        <v>1650.8290999999999</v>
      </c>
    </row>
    <row r="153" spans="1:59" x14ac:dyDescent="0.3">
      <c r="A153">
        <v>1136</v>
      </c>
      <c r="B153">
        <v>1331</v>
      </c>
      <c r="C153">
        <v>1135.5969</v>
      </c>
      <c r="D153">
        <v>1335.9224999999999</v>
      </c>
      <c r="E153">
        <v>1088</v>
      </c>
      <c r="F153">
        <v>1089.5617</v>
      </c>
      <c r="AI153">
        <v>1123</v>
      </c>
      <c r="AJ153">
        <v>1098</v>
      </c>
      <c r="AK153">
        <v>1555</v>
      </c>
      <c r="AL153">
        <v>1120.2438999999999</v>
      </c>
      <c r="AM153">
        <v>1097.3880999999999</v>
      </c>
      <c r="AN153">
        <v>1588.3604</v>
      </c>
      <c r="AO153">
        <f t="shared" si="5"/>
        <v>4</v>
      </c>
      <c r="AU153" cm="1">
        <f t="array" ref="AU153">IF($AO153="","", $AL153 - INDEX($AS$2:$AS$11,$AO153))</f>
        <v>-24.386771052631275</v>
      </c>
      <c r="AV153" cm="1">
        <f t="array" ref="AV153">IF($AO153="","", $AM153 - INDEX($AT$2:$AT$11,$AO153))</f>
        <v>1.9637078947368991</v>
      </c>
      <c r="AW153">
        <f t="shared" si="6"/>
        <v>-47.888494843193314</v>
      </c>
      <c r="BB153">
        <v>1120</v>
      </c>
      <c r="BC153">
        <v>1098</v>
      </c>
      <c r="BD153">
        <v>1566</v>
      </c>
      <c r="BE153">
        <v>1120.5263</v>
      </c>
      <c r="BF153">
        <v>1097.4177999999999</v>
      </c>
      <c r="BG153">
        <v>1590.4577999999999</v>
      </c>
    </row>
    <row r="154" spans="1:59" x14ac:dyDescent="0.3">
      <c r="A154">
        <v>1139</v>
      </c>
      <c r="B154">
        <v>1224</v>
      </c>
      <c r="C154">
        <v>1144.1949999999999</v>
      </c>
      <c r="D154">
        <v>1220.8154999999999</v>
      </c>
      <c r="E154">
        <v>1090</v>
      </c>
      <c r="F154">
        <v>1089.8027</v>
      </c>
      <c r="AI154">
        <v>1127</v>
      </c>
      <c r="AJ154">
        <v>1098</v>
      </c>
      <c r="AK154">
        <v>1488</v>
      </c>
      <c r="AL154">
        <v>1127.2679000000001</v>
      </c>
      <c r="AM154">
        <v>1097.8071</v>
      </c>
      <c r="AN154">
        <v>1519.5263</v>
      </c>
      <c r="AO154">
        <f t="shared" si="5"/>
        <v>5</v>
      </c>
      <c r="AU154" cm="1">
        <f t="array" ref="AU154">IF($AO154="","", $AL154 - INDEX($AS$2:$AS$11,$AO154))</f>
        <v>-17.914202631578974</v>
      </c>
      <c r="AV154" cm="1">
        <f t="array" ref="AV154">IF($AO154="","", $AM154 - INDEX($AT$2:$AT$11,$AO154))</f>
        <v>2.6910526315789411</v>
      </c>
      <c r="AW154">
        <f t="shared" si="6"/>
        <v>-48.208062134348992</v>
      </c>
      <c r="BB154">
        <v>1129</v>
      </c>
      <c r="BC154">
        <v>1097</v>
      </c>
      <c r="BD154">
        <v>1493</v>
      </c>
      <c r="BE154">
        <v>1127.8831</v>
      </c>
      <c r="BF154">
        <v>1097.8535999999999</v>
      </c>
      <c r="BG154">
        <v>1515.8168000000001</v>
      </c>
    </row>
    <row r="155" spans="1:59" x14ac:dyDescent="0.3">
      <c r="A155">
        <v>1147</v>
      </c>
      <c r="B155">
        <v>1109</v>
      </c>
      <c r="C155">
        <v>1152.5393999999999</v>
      </c>
      <c r="D155">
        <v>1102.0322000000001</v>
      </c>
      <c r="E155">
        <v>1083</v>
      </c>
      <c r="F155">
        <v>1089.9204</v>
      </c>
      <c r="AI155">
        <v>1137</v>
      </c>
      <c r="AJ155">
        <v>1098</v>
      </c>
      <c r="AK155">
        <v>1412</v>
      </c>
      <c r="AL155">
        <v>1134.8227999999999</v>
      </c>
      <c r="AM155">
        <v>1098.1588999999999</v>
      </c>
      <c r="AN155">
        <v>1438.5441000000001</v>
      </c>
      <c r="AO155">
        <f t="shared" si="5"/>
        <v>5</v>
      </c>
      <c r="AU155" cm="1">
        <f t="array" ref="AU155">IF($AO155="","", $AL155 - INDEX($AS$2:$AS$11,$AO155))</f>
        <v>-10.359302631579112</v>
      </c>
      <c r="AV155" cm="1">
        <f t="array" ref="AV155">IF($AO155="","", $AM155 - INDEX($AT$2:$AT$11,$AO155))</f>
        <v>3.0428526315788531</v>
      </c>
      <c r="AW155">
        <f t="shared" si="6"/>
        <v>-31.52183127382224</v>
      </c>
      <c r="BB155">
        <v>1133</v>
      </c>
      <c r="BC155">
        <v>1098</v>
      </c>
      <c r="BD155">
        <v>1413</v>
      </c>
      <c r="BE155">
        <v>1135.7482</v>
      </c>
      <c r="BF155">
        <v>1098.2158999999999</v>
      </c>
      <c r="BG155">
        <v>1429.0481</v>
      </c>
    </row>
    <row r="156" spans="1:59" x14ac:dyDescent="0.3">
      <c r="A156">
        <v>1159</v>
      </c>
      <c r="B156">
        <v>990</v>
      </c>
      <c r="C156">
        <v>1160.3905999999999</v>
      </c>
      <c r="D156">
        <v>982.97349999999994</v>
      </c>
      <c r="E156">
        <v>1089</v>
      </c>
      <c r="F156">
        <v>1089.9117000000001</v>
      </c>
      <c r="AI156">
        <v>1147</v>
      </c>
      <c r="AJ156">
        <v>1099</v>
      </c>
      <c r="AK156">
        <v>1323</v>
      </c>
      <c r="AL156">
        <v>1142.6964</v>
      </c>
      <c r="AM156">
        <v>1098.4332999999999</v>
      </c>
      <c r="AN156">
        <v>1347.6722</v>
      </c>
      <c r="AO156">
        <f t="shared" si="5"/>
        <v>5</v>
      </c>
      <c r="AU156" cm="1">
        <f t="array" ref="AU156">IF($AO156="","", $AL156 - INDEX($AS$2:$AS$11,$AO156))</f>
        <v>-2.4857026315789881</v>
      </c>
      <c r="AV156" cm="1">
        <f t="array" ref="AV156">IF($AO156="","", $AM156 - INDEX($AT$2:$AT$11,$AO156))</f>
        <v>3.3172526315788673</v>
      </c>
      <c r="AW156">
        <f t="shared" si="6"/>
        <v>-8.2457035959279139</v>
      </c>
      <c r="BB156">
        <v>1143</v>
      </c>
      <c r="BC156">
        <v>1098</v>
      </c>
      <c r="BD156">
        <v>1321</v>
      </c>
      <c r="BE156">
        <v>1143.8963000000001</v>
      </c>
      <c r="BF156">
        <v>1098.4947</v>
      </c>
      <c r="BG156">
        <v>1332.6403</v>
      </c>
    </row>
    <row r="157" spans="1:59" x14ac:dyDescent="0.3">
      <c r="A157">
        <v>1167</v>
      </c>
      <c r="B157">
        <v>891</v>
      </c>
      <c r="C157">
        <v>1167.5234</v>
      </c>
      <c r="D157">
        <v>867.04539999999997</v>
      </c>
      <c r="E157">
        <v>1090</v>
      </c>
      <c r="F157">
        <v>1089.7774999999999</v>
      </c>
      <c r="AI157">
        <v>1154</v>
      </c>
      <c r="AJ157">
        <v>1099</v>
      </c>
      <c r="AK157">
        <v>1232</v>
      </c>
      <c r="AL157">
        <v>1150.6673000000001</v>
      </c>
      <c r="AM157">
        <v>1098.6223</v>
      </c>
      <c r="AN157">
        <v>1249.4456</v>
      </c>
      <c r="AO157">
        <f t="shared" si="5"/>
        <v>5</v>
      </c>
      <c r="AU157" cm="1">
        <f t="array" ref="AU157">IF($AO157="","", $AL157 - INDEX($AS$2:$AS$11,$AO157))</f>
        <v>5.4851973684210407</v>
      </c>
      <c r="AV157" cm="1">
        <f t="array" ref="AV157">IF($AO157="","", $AM157 - INDEX($AT$2:$AT$11,$AO157))</f>
        <v>3.5062526315789455</v>
      </c>
      <c r="AW157">
        <f t="shared" si="6"/>
        <v>19.232487707756182</v>
      </c>
      <c r="BB157">
        <v>1152</v>
      </c>
      <c r="BC157">
        <v>1097</v>
      </c>
      <c r="BD157">
        <v>1223</v>
      </c>
      <c r="BE157">
        <v>1152.0940000000001</v>
      </c>
      <c r="BF157">
        <v>1098.6827000000001</v>
      </c>
      <c r="BG157">
        <v>1229.3579999999999</v>
      </c>
    </row>
    <row r="158" spans="1:59" x14ac:dyDescent="0.3">
      <c r="A158">
        <v>1171</v>
      </c>
      <c r="B158">
        <v>777</v>
      </c>
      <c r="C158">
        <v>1173.7333000000001</v>
      </c>
      <c r="D158">
        <v>757.56060000000002</v>
      </c>
      <c r="E158">
        <v>1090</v>
      </c>
      <c r="F158">
        <v>1089.5218</v>
      </c>
      <c r="AI158">
        <v>1160</v>
      </c>
      <c r="AJ158">
        <v>1098</v>
      </c>
      <c r="AK158">
        <v>1133</v>
      </c>
      <c r="AL158">
        <v>1158.5114000000001</v>
      </c>
      <c r="AM158">
        <v>1098.72</v>
      </c>
      <c r="AN158">
        <v>1146.6047000000001</v>
      </c>
      <c r="AO158">
        <f t="shared" si="5"/>
        <v>5</v>
      </c>
      <c r="AU158" cm="1">
        <f t="array" ref="AU158">IF($AO158="","", $AL158 - INDEX($AS$2:$AS$11,$AO158))</f>
        <v>13.329297368421066</v>
      </c>
      <c r="AV158" cm="1">
        <f t="array" ref="AV158">IF($AO158="","", $AM158 - INDEX($AT$2:$AT$11,$AO158))</f>
        <v>3.6039526315789772</v>
      </c>
      <c r="AW158">
        <f t="shared" si="6"/>
        <v>48.038156328019838</v>
      </c>
      <c r="BB158">
        <v>1162</v>
      </c>
      <c r="BC158">
        <v>1098</v>
      </c>
      <c r="BD158">
        <v>1122</v>
      </c>
      <c r="BE158">
        <v>1160.1062999999999</v>
      </c>
      <c r="BF158">
        <v>1098.7747999999999</v>
      </c>
      <c r="BG158">
        <v>1122.1615999999999</v>
      </c>
    </row>
    <row r="159" spans="1:59" x14ac:dyDescent="0.3">
      <c r="A159">
        <v>1178</v>
      </c>
      <c r="B159">
        <v>666</v>
      </c>
      <c r="C159">
        <v>1178.8424</v>
      </c>
      <c r="D159">
        <v>657.64400000000001</v>
      </c>
      <c r="E159">
        <v>1088</v>
      </c>
      <c r="F159">
        <v>1089.1523</v>
      </c>
      <c r="AI159">
        <v>1168</v>
      </c>
      <c r="AJ159">
        <v>1099</v>
      </c>
      <c r="AK159">
        <v>1038</v>
      </c>
      <c r="AL159">
        <v>1166.0081</v>
      </c>
      <c r="AM159">
        <v>1098.7231999999999</v>
      </c>
      <c r="AN159">
        <v>1042.0182</v>
      </c>
      <c r="AO159">
        <f t="shared" si="5"/>
        <v>5</v>
      </c>
      <c r="AU159" cm="1">
        <f t="array" ref="AU159">IF($AO159="","", $AL159 - INDEX($AS$2:$AS$11,$AO159))</f>
        <v>20.825997368420985</v>
      </c>
      <c r="AV159" cm="1">
        <f t="array" ref="AV159">IF($AO159="","", $AM159 - INDEX($AT$2:$AT$11,$AO159))</f>
        <v>3.607152631578856</v>
      </c>
      <c r="AW159">
        <f t="shared" si="6"/>
        <v>75.12255121275409</v>
      </c>
      <c r="BB159">
        <v>1166</v>
      </c>
      <c r="BC159">
        <v>1096</v>
      </c>
      <c r="BD159">
        <v>1028</v>
      </c>
      <c r="BE159">
        <v>1167.7038</v>
      </c>
      <c r="BF159">
        <v>1098.7691</v>
      </c>
      <c r="BG159">
        <v>1014.1228</v>
      </c>
    </row>
    <row r="160" spans="1:59" x14ac:dyDescent="0.3">
      <c r="A160">
        <v>1183</v>
      </c>
      <c r="B160">
        <v>574</v>
      </c>
      <c r="C160">
        <v>1182.7045000000001</v>
      </c>
      <c r="D160">
        <v>570.14290000000005</v>
      </c>
      <c r="E160">
        <v>1088</v>
      </c>
      <c r="F160">
        <v>1088.6797999999999</v>
      </c>
      <c r="AI160">
        <v>1167</v>
      </c>
      <c r="AJ160">
        <v>1082</v>
      </c>
      <c r="AK160">
        <v>897</v>
      </c>
      <c r="AL160">
        <v>1172.9464</v>
      </c>
      <c r="AM160">
        <v>1098.6311000000001</v>
      </c>
      <c r="AN160">
        <v>938.60270000000003</v>
      </c>
      <c r="AO160">
        <f t="shared" si="5"/>
        <v>5</v>
      </c>
      <c r="AU160" cm="1">
        <f t="array" ref="AU160">IF($AO160="","", $AL160 - INDEX($AS$2:$AS$11,$AO160))</f>
        <v>27.764297368421012</v>
      </c>
      <c r="AV160" cm="1">
        <f t="array" ref="AV160">IF($AO160="","", $AM160 - INDEX($AT$2:$AT$11,$AO160))</f>
        <v>3.5150526315790103</v>
      </c>
      <c r="AW160">
        <f t="shared" si="6"/>
        <v>97.592966528810464</v>
      </c>
      <c r="BB160">
        <v>1171</v>
      </c>
      <c r="BC160">
        <v>1099</v>
      </c>
      <c r="BD160">
        <v>909</v>
      </c>
      <c r="BE160">
        <v>1174.6688999999999</v>
      </c>
      <c r="BF160">
        <v>1098.6660999999999</v>
      </c>
      <c r="BG160">
        <v>908.33659999999998</v>
      </c>
    </row>
    <row r="161" spans="1:59" x14ac:dyDescent="0.3">
      <c r="A161">
        <v>1186</v>
      </c>
      <c r="B161">
        <v>494</v>
      </c>
      <c r="C161">
        <v>1185.2094999999999</v>
      </c>
      <c r="D161">
        <v>497.54590000000002</v>
      </c>
      <c r="E161">
        <v>1090</v>
      </c>
      <c r="F161">
        <v>1088.1179999999999</v>
      </c>
      <c r="AI161">
        <v>1178</v>
      </c>
      <c r="AJ161">
        <v>1097</v>
      </c>
      <c r="AK161">
        <v>851</v>
      </c>
      <c r="AL161">
        <v>1179.1311000000001</v>
      </c>
      <c r="AM161">
        <v>1098.4455</v>
      </c>
      <c r="AN161">
        <v>839.24090000000001</v>
      </c>
      <c r="AO161">
        <f t="shared" si="5"/>
        <v>5</v>
      </c>
      <c r="AU161" cm="1">
        <f t="array" ref="AU161">IF($AO161="","", $AL161 - INDEX($AS$2:$AS$11,$AO161))</f>
        <v>33.948997368421033</v>
      </c>
      <c r="AV161" cm="1">
        <f t="array" ref="AV161">IF($AO161="","", $AM161 - INDEX($AT$2:$AT$11,$AO161))</f>
        <v>3.3294526315789881</v>
      </c>
      <c r="AW161">
        <f t="shared" si="6"/>
        <v>113.03157862775755</v>
      </c>
      <c r="BB161">
        <v>1181</v>
      </c>
      <c r="BC161">
        <v>1098</v>
      </c>
      <c r="BD161">
        <v>834</v>
      </c>
      <c r="BE161">
        <v>1180.8018999999999</v>
      </c>
      <c r="BF161">
        <v>1098.4692</v>
      </c>
      <c r="BG161">
        <v>807.83259999999996</v>
      </c>
    </row>
    <row r="162" spans="1:59" x14ac:dyDescent="0.3">
      <c r="A162">
        <v>1185</v>
      </c>
      <c r="B162">
        <v>434</v>
      </c>
      <c r="C162">
        <v>1186.2858000000001</v>
      </c>
      <c r="D162">
        <v>441.91180000000003</v>
      </c>
      <c r="E162">
        <v>1087</v>
      </c>
      <c r="F162">
        <v>1087.4829</v>
      </c>
      <c r="AI162">
        <v>1185</v>
      </c>
      <c r="AJ162">
        <v>1098</v>
      </c>
      <c r="AK162">
        <v>752</v>
      </c>
      <c r="AL162">
        <v>1184.3879999999999</v>
      </c>
      <c r="AM162">
        <v>1098.1706999999999</v>
      </c>
      <c r="AN162">
        <v>746.70140000000004</v>
      </c>
      <c r="AO162">
        <f t="shared" si="5"/>
        <v>5</v>
      </c>
      <c r="AU162" cm="1">
        <f t="array" ref="AU162">IF($AO162="","", $AL162 - INDEX($AS$2:$AS$11,$AO162))</f>
        <v>39.205897368420892</v>
      </c>
      <c r="AV162" cm="1">
        <f t="array" ref="AV162">IF($AO162="","", $AM162 - INDEX($AT$2:$AT$11,$AO162))</f>
        <v>3.0546526315788469</v>
      </c>
      <c r="AW162">
        <f t="shared" si="6"/>
        <v>119.76039756985706</v>
      </c>
      <c r="BB162">
        <v>1186</v>
      </c>
      <c r="BC162">
        <v>1099</v>
      </c>
      <c r="BD162">
        <v>737</v>
      </c>
      <c r="BE162">
        <v>1185.9272000000001</v>
      </c>
      <c r="BF162">
        <v>1098.1846</v>
      </c>
      <c r="BG162">
        <v>715.48800000000006</v>
      </c>
    </row>
    <row r="163" spans="1:59" x14ac:dyDescent="0.3">
      <c r="A163">
        <v>1188</v>
      </c>
      <c r="B163">
        <v>393</v>
      </c>
      <c r="C163">
        <v>1185.9033999999999</v>
      </c>
      <c r="D163">
        <v>404.81099999999998</v>
      </c>
      <c r="E163">
        <v>1087</v>
      </c>
      <c r="F163">
        <v>1086.7927999999999</v>
      </c>
      <c r="AI163">
        <v>1187</v>
      </c>
      <c r="AJ163">
        <v>1096</v>
      </c>
      <c r="AK163">
        <v>665</v>
      </c>
      <c r="AL163">
        <v>1188.5689</v>
      </c>
      <c r="AM163">
        <v>1097.8136999999999</v>
      </c>
      <c r="AN163">
        <v>663.56110000000001</v>
      </c>
      <c r="AO163">
        <f t="shared" si="5"/>
        <v>5</v>
      </c>
      <c r="AU163" cm="1">
        <f t="array" ref="AU163">IF($AO163="","", $AL163 - INDEX($AS$2:$AS$11,$AO163))</f>
        <v>43.386797368420957</v>
      </c>
      <c r="AV163" cm="1">
        <f t="array" ref="AV163">IF($AO163="","", $AM163 - INDEX($AT$2:$AT$11,$AO163))</f>
        <v>2.697652631578876</v>
      </c>
      <c r="AW163">
        <f t="shared" si="6"/>
        <v>117.04250809670025</v>
      </c>
      <c r="BB163">
        <v>1189</v>
      </c>
      <c r="BC163">
        <v>1095</v>
      </c>
      <c r="BD163">
        <v>652</v>
      </c>
      <c r="BE163">
        <v>1189.8982000000001</v>
      </c>
      <c r="BF163">
        <v>1097.8208</v>
      </c>
      <c r="BG163">
        <v>633.94600000000003</v>
      </c>
    </row>
    <row r="164" spans="1:59" x14ac:dyDescent="0.3">
      <c r="A164">
        <v>1179</v>
      </c>
      <c r="B164">
        <v>381</v>
      </c>
      <c r="C164">
        <v>1184.0737999999999</v>
      </c>
      <c r="D164">
        <v>387.28109999999998</v>
      </c>
      <c r="E164">
        <v>1087</v>
      </c>
      <c r="F164">
        <v>1086.067</v>
      </c>
      <c r="AI164">
        <v>1190</v>
      </c>
      <c r="AJ164">
        <v>1098</v>
      </c>
      <c r="AK164">
        <v>592</v>
      </c>
      <c r="AL164">
        <v>1191.5556999999999</v>
      </c>
      <c r="AM164">
        <v>1097.3834999999999</v>
      </c>
      <c r="AN164">
        <v>592.13379999999995</v>
      </c>
      <c r="AO164">
        <f t="shared" si="5"/>
        <v>5</v>
      </c>
      <c r="AU164" cm="1">
        <f t="array" ref="AU164">IF($AO164="","", $AL164 - INDEX($AS$2:$AS$11,$AO164))</f>
        <v>46.37359736842086</v>
      </c>
      <c r="AV164" cm="1">
        <f t="array" ref="AV164">IF($AO164="","", $AM164 - INDEX($AT$2:$AT$11,$AO164))</f>
        <v>2.2674526315788626</v>
      </c>
      <c r="AW164">
        <f t="shared" si="6"/>
        <v>105.14993538880449</v>
      </c>
      <c r="BB164">
        <v>1192</v>
      </c>
      <c r="BC164">
        <v>1096</v>
      </c>
      <c r="BD164">
        <v>575</v>
      </c>
      <c r="BE164">
        <v>1192.6011000000001</v>
      </c>
      <c r="BF164">
        <v>1097.3886</v>
      </c>
      <c r="BG164">
        <v>565.53980000000001</v>
      </c>
    </row>
    <row r="165" spans="1:59" x14ac:dyDescent="0.3">
      <c r="A165">
        <v>1181</v>
      </c>
      <c r="B165">
        <v>388</v>
      </c>
      <c r="C165">
        <v>1180.8501000000001</v>
      </c>
      <c r="D165">
        <v>389.79790000000003</v>
      </c>
      <c r="E165">
        <v>1083</v>
      </c>
      <c r="F165">
        <v>1085.3262</v>
      </c>
      <c r="AI165">
        <v>1193</v>
      </c>
      <c r="AJ165">
        <v>1097</v>
      </c>
      <c r="AK165">
        <v>534</v>
      </c>
      <c r="AL165">
        <v>1193.2638999999999</v>
      </c>
      <c r="AM165">
        <v>1096.8913</v>
      </c>
      <c r="AN165">
        <v>534.40549999999996</v>
      </c>
      <c r="AO165">
        <f t="shared" si="5"/>
        <v>5</v>
      </c>
      <c r="AU165" cm="1">
        <f t="array" ref="AU165">IF($AO165="","", $AL165 - INDEX($AS$2:$AS$11,$AO165))</f>
        <v>48.081797368420894</v>
      </c>
      <c r="AV165" cm="1">
        <f t="array" ref="AV165">IF($AO165="","", $AM165 - INDEX($AT$2:$AT$11,$AO165))</f>
        <v>1.775252631578951</v>
      </c>
      <c r="AW165">
        <f t="shared" si="6"/>
        <v>85.357337309335065</v>
      </c>
      <c r="BB165">
        <v>1190</v>
      </c>
      <c r="BC165">
        <v>1097</v>
      </c>
      <c r="BD165">
        <v>514</v>
      </c>
      <c r="BE165">
        <v>1193.9585999999999</v>
      </c>
      <c r="BF165">
        <v>1096.9005999999999</v>
      </c>
      <c r="BG165">
        <v>512.22619999999995</v>
      </c>
    </row>
    <row r="166" spans="1:59" x14ac:dyDescent="0.3">
      <c r="A166">
        <v>1178</v>
      </c>
      <c r="B166">
        <v>406</v>
      </c>
      <c r="C166">
        <v>1176.3253999999999</v>
      </c>
      <c r="D166">
        <v>412.26249999999999</v>
      </c>
      <c r="E166">
        <v>1084</v>
      </c>
      <c r="F166">
        <v>1084.5909999999999</v>
      </c>
      <c r="AI166">
        <v>1195</v>
      </c>
      <c r="AJ166">
        <v>1098</v>
      </c>
      <c r="AK166">
        <v>485</v>
      </c>
      <c r="AL166">
        <v>1193.6446000000001</v>
      </c>
      <c r="AM166">
        <v>1096.3498</v>
      </c>
      <c r="AN166">
        <v>491.97989999999999</v>
      </c>
      <c r="AO166">
        <f t="shared" si="5"/>
        <v>5</v>
      </c>
      <c r="AU166" cm="1">
        <f t="array" ref="AU166">IF($AO166="","", $AL166 - INDEX($AS$2:$AS$11,$AO166))</f>
        <v>48.462497368421054</v>
      </c>
      <c r="AV166" cm="1">
        <f t="array" ref="AV166">IF($AO166="","", $AM166 - INDEX($AT$2:$AT$11,$AO166))</f>
        <v>1.2337526315789091</v>
      </c>
      <c r="AW166">
        <f t="shared" si="6"/>
        <v>59.790733661175437</v>
      </c>
      <c r="BB166">
        <v>1193</v>
      </c>
      <c r="BC166">
        <v>1096</v>
      </c>
      <c r="BD166">
        <v>469</v>
      </c>
      <c r="BE166">
        <v>1193.9317000000001</v>
      </c>
      <c r="BF166">
        <v>1096.3712</v>
      </c>
      <c r="BG166">
        <v>475.52969999999999</v>
      </c>
    </row>
    <row r="167" spans="1:59" x14ac:dyDescent="0.3">
      <c r="A167">
        <v>1175</v>
      </c>
      <c r="B167">
        <v>435</v>
      </c>
      <c r="C167">
        <v>1170.6300000000001</v>
      </c>
      <c r="D167">
        <v>454.00459999999998</v>
      </c>
      <c r="E167">
        <v>1083</v>
      </c>
      <c r="F167">
        <v>1083.8818000000001</v>
      </c>
      <c r="AI167">
        <v>1190</v>
      </c>
      <c r="AJ167">
        <v>1097</v>
      </c>
      <c r="AK167">
        <v>464</v>
      </c>
      <c r="AL167">
        <v>1192.6860999999999</v>
      </c>
      <c r="AM167">
        <v>1095.7734</v>
      </c>
      <c r="AN167">
        <v>466.03370000000001</v>
      </c>
      <c r="AO167">
        <f t="shared" si="5"/>
        <v>5</v>
      </c>
      <c r="AU167" cm="1">
        <f t="array" ref="AU167">IF($AO167="","", $AL167 - INDEX($AS$2:$AS$11,$AO167))</f>
        <v>47.503997368420869</v>
      </c>
      <c r="AV167" cm="1">
        <f t="array" ref="AV167">IF($AO167="","", $AM167 - INDEX($AT$2:$AT$11,$AO167))</f>
        <v>0.65735263157898771</v>
      </c>
      <c r="AW167">
        <f t="shared" si="6"/>
        <v>31.226877680652766</v>
      </c>
      <c r="BB167">
        <v>1193</v>
      </c>
      <c r="BC167">
        <v>1095</v>
      </c>
      <c r="BD167">
        <v>448</v>
      </c>
      <c r="BE167">
        <v>1192.5214000000001</v>
      </c>
      <c r="BF167">
        <v>1095.8157000000001</v>
      </c>
      <c r="BG167">
        <v>456.49959999999999</v>
      </c>
    </row>
    <row r="168" spans="1:59" x14ac:dyDescent="0.3">
      <c r="A168">
        <v>1166</v>
      </c>
      <c r="B168">
        <v>481</v>
      </c>
      <c r="C168">
        <v>1163.9277999999999</v>
      </c>
      <c r="D168">
        <v>513.80280000000005</v>
      </c>
      <c r="E168">
        <v>1083</v>
      </c>
      <c r="F168">
        <v>1083.2184999999999</v>
      </c>
      <c r="AI168">
        <v>1187</v>
      </c>
      <c r="AJ168">
        <v>1096</v>
      </c>
      <c r="AK168">
        <v>462</v>
      </c>
      <c r="AL168">
        <v>1190.414</v>
      </c>
      <c r="AM168">
        <v>1095.1774</v>
      </c>
      <c r="AN168">
        <v>457.28440000000001</v>
      </c>
      <c r="AO168">
        <f t="shared" si="5"/>
        <v>5</v>
      </c>
      <c r="AU168" cm="1">
        <f t="array" ref="AU168">IF($AO168="","", $AL168 - INDEX($AS$2:$AS$11,$AO168))</f>
        <v>45.23189736842096</v>
      </c>
      <c r="AV168" cm="1">
        <f t="array" ref="AV168">IF($AO168="","", $AM168 - INDEX($AT$2:$AT$11,$AO168))</f>
        <v>6.1352631578984074E-2</v>
      </c>
      <c r="AW168">
        <f t="shared" si="6"/>
        <v>2.7750959348631503</v>
      </c>
      <c r="BB168">
        <v>1191</v>
      </c>
      <c r="BC168">
        <v>1095</v>
      </c>
      <c r="BD168">
        <v>450</v>
      </c>
      <c r="BE168">
        <v>1189.768</v>
      </c>
      <c r="BF168">
        <v>1095.2503999999999</v>
      </c>
      <c r="BG168">
        <v>455.67970000000003</v>
      </c>
    </row>
    <row r="169" spans="1:59" x14ac:dyDescent="0.3">
      <c r="A169">
        <v>1159</v>
      </c>
      <c r="B169">
        <v>544</v>
      </c>
      <c r="C169">
        <v>1156.4112</v>
      </c>
      <c r="D169">
        <v>589.92010000000005</v>
      </c>
      <c r="E169">
        <v>1081</v>
      </c>
      <c r="F169">
        <v>1082.6189999999999</v>
      </c>
      <c r="AI169">
        <v>1186</v>
      </c>
      <c r="AJ169">
        <v>1096</v>
      </c>
      <c r="AK169">
        <v>479</v>
      </c>
      <c r="AL169">
        <v>1186.8907999999999</v>
      </c>
      <c r="AM169">
        <v>1094.5778</v>
      </c>
      <c r="AN169">
        <v>465.971</v>
      </c>
      <c r="AO169">
        <f t="shared" si="5"/>
        <v>5</v>
      </c>
      <c r="AU169" cm="1">
        <f t="array" ref="AU169">IF($AO169="","", $AL169 - INDEX($AS$2:$AS$11,$AO169))</f>
        <v>41.708697368420871</v>
      </c>
      <c r="AV169" cm="1">
        <f t="array" ref="AV169">IF($AO169="","", $AM169 - INDEX($AT$2:$AT$11,$AO169))</f>
        <v>-0.53824736842102539</v>
      </c>
      <c r="AW169">
        <f t="shared" si="6"/>
        <v>-22.449596598821479</v>
      </c>
      <c r="BB169">
        <v>1185</v>
      </c>
      <c r="BC169">
        <v>1093</v>
      </c>
      <c r="BD169">
        <v>465</v>
      </c>
      <c r="BE169">
        <v>1185.7503999999999</v>
      </c>
      <c r="BF169">
        <v>1094.6913999999999</v>
      </c>
      <c r="BG169">
        <v>473.09339999999997</v>
      </c>
    </row>
    <row r="170" spans="1:59" x14ac:dyDescent="0.3">
      <c r="A170">
        <v>1154</v>
      </c>
      <c r="B170">
        <v>622</v>
      </c>
      <c r="C170">
        <v>1148.2961</v>
      </c>
      <c r="D170">
        <v>680.15440000000001</v>
      </c>
      <c r="E170">
        <v>1082</v>
      </c>
      <c r="F170">
        <v>1082.0996</v>
      </c>
      <c r="AI170">
        <v>1179</v>
      </c>
      <c r="AJ170">
        <v>1093</v>
      </c>
      <c r="AK170">
        <v>512</v>
      </c>
      <c r="AL170">
        <v>1182.2138</v>
      </c>
      <c r="AM170">
        <v>1093.9907000000001</v>
      </c>
      <c r="AN170">
        <v>491.84730000000002</v>
      </c>
      <c r="AO170">
        <f t="shared" si="5"/>
        <v>5</v>
      </c>
      <c r="AU170" cm="1">
        <f t="array" ref="AU170">IF($AO170="","", $AL170 - INDEX($AS$2:$AS$11,$AO170))</f>
        <v>37.031697368420964</v>
      </c>
      <c r="AV170" cm="1">
        <f t="array" ref="AV170">IF($AO170="","", $AM170 - INDEX($AT$2:$AT$11,$AO170))</f>
        <v>-1.1253473684209894</v>
      </c>
      <c r="AW170">
        <f t="shared" si="6"/>
        <v>-41.673523181715012</v>
      </c>
      <c r="BB170">
        <v>1181</v>
      </c>
      <c r="BC170">
        <v>1094</v>
      </c>
      <c r="BD170">
        <v>503</v>
      </c>
      <c r="BE170">
        <v>1180.5835</v>
      </c>
      <c r="BF170">
        <v>1094.1550999999999</v>
      </c>
      <c r="BG170">
        <v>508.24299999999999</v>
      </c>
    </row>
    <row r="171" spans="1:59" x14ac:dyDescent="0.3">
      <c r="A171">
        <v>1144</v>
      </c>
      <c r="B171">
        <v>718</v>
      </c>
      <c r="C171">
        <v>1139.8152</v>
      </c>
      <c r="D171">
        <v>781.90239999999994</v>
      </c>
      <c r="E171">
        <v>1082</v>
      </c>
      <c r="F171">
        <v>1081.6742999999999</v>
      </c>
      <c r="AI171">
        <v>1174</v>
      </c>
      <c r="AJ171">
        <v>1094</v>
      </c>
      <c r="AK171">
        <v>558</v>
      </c>
      <c r="AL171">
        <v>1176.5127</v>
      </c>
      <c r="AM171">
        <v>1093.4321</v>
      </c>
      <c r="AN171">
        <v>534.18989999999997</v>
      </c>
      <c r="AO171">
        <f t="shared" si="5"/>
        <v>5</v>
      </c>
      <c r="AU171" cm="1">
        <f t="array" ref="AU171">IF($AO171="","", $AL171 - INDEX($AS$2:$AS$11,$AO171))</f>
        <v>31.330597368420968</v>
      </c>
      <c r="AV171" cm="1">
        <f t="array" ref="AV171">IF($AO171="","", $AM171 - INDEX($AT$2:$AT$11,$AO171))</f>
        <v>-1.6839473684210589</v>
      </c>
      <c r="AW171">
        <f t="shared" si="6"/>
        <v>-52.75907698961224</v>
      </c>
      <c r="BB171">
        <v>1178</v>
      </c>
      <c r="BC171">
        <v>1093</v>
      </c>
      <c r="BD171">
        <v>548</v>
      </c>
      <c r="BE171">
        <v>1174.4150999999999</v>
      </c>
      <c r="BF171">
        <v>1093.6567</v>
      </c>
      <c r="BG171">
        <v>560.12440000000004</v>
      </c>
    </row>
    <row r="172" spans="1:59" x14ac:dyDescent="0.3">
      <c r="A172">
        <v>1135</v>
      </c>
      <c r="B172">
        <v>826</v>
      </c>
      <c r="C172">
        <v>1131.2116000000001</v>
      </c>
      <c r="D172">
        <v>892.23410000000001</v>
      </c>
      <c r="E172">
        <v>1082</v>
      </c>
      <c r="F172">
        <v>1081.3542</v>
      </c>
      <c r="AI172">
        <v>1168</v>
      </c>
      <c r="AJ172">
        <v>1094</v>
      </c>
      <c r="AK172">
        <v>618</v>
      </c>
      <c r="AL172">
        <v>1169.9455</v>
      </c>
      <c r="AM172">
        <v>1092.9170999999999</v>
      </c>
      <c r="AN172">
        <v>591.81820000000005</v>
      </c>
      <c r="AO172">
        <f t="shared" si="5"/>
        <v>5</v>
      </c>
      <c r="AU172" cm="1">
        <f t="array" ref="AU172">IF($AO172="","", $AL172 - INDEX($AS$2:$AS$11,$AO172))</f>
        <v>24.76339736842101</v>
      </c>
      <c r="AV172" cm="1">
        <f t="array" ref="AV172">IF($AO172="","", $AM172 - INDEX($AT$2:$AT$11,$AO172))</f>
        <v>-2.1989473684211589</v>
      </c>
      <c r="AW172">
        <f t="shared" si="6"/>
        <v>-54.453407476456832</v>
      </c>
      <c r="BB172">
        <v>1169</v>
      </c>
      <c r="BC172">
        <v>1093</v>
      </c>
      <c r="BD172">
        <v>603</v>
      </c>
      <c r="BE172">
        <v>1167.4217000000001</v>
      </c>
      <c r="BF172">
        <v>1093.2108000000001</v>
      </c>
      <c r="BG172">
        <v>627.25609999999995</v>
      </c>
    </row>
    <row r="173" spans="1:59" x14ac:dyDescent="0.3">
      <c r="A173">
        <v>1106</v>
      </c>
      <c r="B173">
        <v>1060</v>
      </c>
      <c r="C173">
        <v>1122.7318</v>
      </c>
      <c r="D173">
        <v>1007.9779</v>
      </c>
      <c r="E173">
        <v>1071</v>
      </c>
      <c r="F173">
        <v>1081.1472000000001</v>
      </c>
      <c r="AI173">
        <v>1159</v>
      </c>
      <c r="AJ173">
        <v>1091</v>
      </c>
      <c r="AK173">
        <v>682</v>
      </c>
      <c r="AL173">
        <v>1162.6946</v>
      </c>
      <c r="AM173">
        <v>1092.4599000000001</v>
      </c>
      <c r="AN173">
        <v>663.12829999999997</v>
      </c>
      <c r="AO173">
        <f t="shared" si="5"/>
        <v>5</v>
      </c>
      <c r="AU173" cm="1">
        <f t="array" ref="AU173">IF($AO173="","", $AL173 - INDEX($AS$2:$AS$11,$AO173))</f>
        <v>17.512497368421009</v>
      </c>
      <c r="AV173" cm="1">
        <f t="array" ref="AV173">IF($AO173="","", $AM173 - INDEX($AT$2:$AT$11,$AO173))</f>
        <v>-2.6561473684209886</v>
      </c>
      <c r="AW173">
        <f t="shared" si="6"/>
        <v>-46.515773799610955</v>
      </c>
      <c r="BB173">
        <v>1160</v>
      </c>
      <c r="BC173">
        <v>1092</v>
      </c>
      <c r="BD173">
        <v>674</v>
      </c>
      <c r="BE173">
        <v>1159.8033</v>
      </c>
      <c r="BF173">
        <v>1092.83</v>
      </c>
      <c r="BG173">
        <v>707.72119999999995</v>
      </c>
    </row>
    <row r="174" spans="1:59" x14ac:dyDescent="0.3">
      <c r="A174">
        <v>1110</v>
      </c>
      <c r="B174">
        <v>1159</v>
      </c>
      <c r="C174">
        <v>1114.6186</v>
      </c>
      <c r="D174">
        <v>1125.8112000000001</v>
      </c>
      <c r="E174">
        <v>1079</v>
      </c>
      <c r="F174">
        <v>1081.0581999999999</v>
      </c>
      <c r="AI174">
        <v>1151</v>
      </c>
      <c r="AJ174">
        <v>1091</v>
      </c>
      <c r="AK174">
        <v>760</v>
      </c>
      <c r="AL174">
        <v>1154.9612999999999</v>
      </c>
      <c r="AM174">
        <v>1092.0733</v>
      </c>
      <c r="AN174">
        <v>746.13739999999996</v>
      </c>
      <c r="AO174">
        <f t="shared" si="5"/>
        <v>5</v>
      </c>
      <c r="AU174" cm="1">
        <f t="array" ref="AU174">IF($AO174="","", $AL174 - INDEX($AS$2:$AS$11,$AO174))</f>
        <v>9.7791973684209097</v>
      </c>
      <c r="AV174" cm="1">
        <f t="array" ref="AV174">IF($AO174="","", $AM174 - INDEX($AT$2:$AT$11,$AO174))</f>
        <v>-3.0427473684210327</v>
      </c>
      <c r="AW174">
        <f t="shared" si="6"/>
        <v>-29.755627058032612</v>
      </c>
      <c r="BB174">
        <v>1153</v>
      </c>
      <c r="BC174">
        <v>1092</v>
      </c>
      <c r="BD174">
        <v>758</v>
      </c>
      <c r="BE174">
        <v>1151.7775999999999</v>
      </c>
      <c r="BF174">
        <v>1092.5254</v>
      </c>
      <c r="BG174">
        <v>799.22299999999996</v>
      </c>
    </row>
    <row r="175" spans="1:59" x14ac:dyDescent="0.3">
      <c r="A175">
        <v>1103</v>
      </c>
      <c r="B175">
        <v>1271</v>
      </c>
      <c r="C175">
        <v>1107.104</v>
      </c>
      <c r="D175">
        <v>1242.3558</v>
      </c>
      <c r="E175">
        <v>1081</v>
      </c>
      <c r="F175">
        <v>1081.0886</v>
      </c>
      <c r="AI175">
        <v>1146</v>
      </c>
      <c r="AJ175">
        <v>1091</v>
      </c>
      <c r="AK175">
        <v>847</v>
      </c>
      <c r="AL175">
        <v>1146.9603999999999</v>
      </c>
      <c r="AM175">
        <v>1091.7682</v>
      </c>
      <c r="AN175">
        <v>838.53980000000001</v>
      </c>
      <c r="AO175">
        <f t="shared" si="5"/>
        <v>5</v>
      </c>
      <c r="AU175" cm="1">
        <f t="array" ref="AU175">IF($AO175="","", $AL175 - INDEX($AS$2:$AS$11,$AO175))</f>
        <v>1.7782973684209082</v>
      </c>
      <c r="AV175" cm="1">
        <f t="array" ref="AV175">IF($AO175="","", $AM175 - INDEX($AT$2:$AT$11,$AO175))</f>
        <v>-3.3478473684210712</v>
      </c>
      <c r="AW175">
        <f t="shared" si="6"/>
        <v>-5.9534681651380534</v>
      </c>
      <c r="BB175">
        <v>1140</v>
      </c>
      <c r="BC175">
        <v>1092</v>
      </c>
      <c r="BD175">
        <v>851</v>
      </c>
      <c r="BE175">
        <v>1143.5742</v>
      </c>
      <c r="BF175">
        <v>1092.3054999999999</v>
      </c>
      <c r="BG175">
        <v>899.15039999999999</v>
      </c>
    </row>
    <row r="176" spans="1:59" x14ac:dyDescent="0.3">
      <c r="A176">
        <v>1101</v>
      </c>
      <c r="B176">
        <v>1387</v>
      </c>
      <c r="C176">
        <v>1100.4028000000001</v>
      </c>
      <c r="D176">
        <v>1354.2747999999999</v>
      </c>
      <c r="E176">
        <v>1082</v>
      </c>
      <c r="F176">
        <v>1081.2362000000001</v>
      </c>
      <c r="AI176">
        <v>1141</v>
      </c>
      <c r="AJ176">
        <v>1092</v>
      </c>
      <c r="AK176">
        <v>941</v>
      </c>
      <c r="AL176">
        <v>1138.9141</v>
      </c>
      <c r="AM176">
        <v>1091.5533</v>
      </c>
      <c r="AN176">
        <v>937.77070000000003</v>
      </c>
      <c r="AO176">
        <f t="shared" si="5"/>
        <v>5</v>
      </c>
      <c r="AU176" cm="1">
        <f t="array" ref="AU176">IF($AO176="","", $AL176 - INDEX($AS$2:$AS$11,$AO176))</f>
        <v>-6.2680026315790656</v>
      </c>
      <c r="AV176" cm="1">
        <f t="array" ref="AV176">IF($AO176="","", $AM176 - INDEX($AT$2:$AT$11,$AO176))</f>
        <v>-3.5627473684210145</v>
      </c>
      <c r="AW176">
        <f t="shared" si="6"/>
        <v>22.331309880914308</v>
      </c>
      <c r="BB176">
        <v>1137</v>
      </c>
      <c r="BC176">
        <v>1091</v>
      </c>
      <c r="BD176">
        <v>951</v>
      </c>
      <c r="BE176">
        <v>1135.4273000000001</v>
      </c>
      <c r="BF176">
        <v>1092.1767</v>
      </c>
      <c r="BG176">
        <v>1004.6522</v>
      </c>
    </row>
    <row r="177" spans="1:59" x14ac:dyDescent="0.3">
      <c r="A177">
        <v>1090</v>
      </c>
      <c r="B177">
        <v>1491</v>
      </c>
      <c r="C177">
        <v>1094.7063000000001</v>
      </c>
      <c r="D177">
        <v>1458.3678</v>
      </c>
      <c r="E177">
        <v>1080</v>
      </c>
      <c r="F177">
        <v>1081.4957999999999</v>
      </c>
      <c r="AI177">
        <v>1131</v>
      </c>
      <c r="AJ177">
        <v>1091</v>
      </c>
      <c r="AK177">
        <v>1038</v>
      </c>
      <c r="AL177">
        <v>1131.0458000000001</v>
      </c>
      <c r="AM177">
        <v>1091.4349</v>
      </c>
      <c r="AN177">
        <v>1041.0784000000001</v>
      </c>
      <c r="AO177">
        <f t="shared" si="5"/>
        <v>5</v>
      </c>
      <c r="AU177" cm="1">
        <f t="array" ref="AU177">IF($AO177="","", $AL177 - INDEX($AS$2:$AS$11,$AO177))</f>
        <v>-14.136302631578928</v>
      </c>
      <c r="AV177" cm="1">
        <f t="array" ref="AV177">IF($AO177="","", $AM177 - INDEX($AT$2:$AT$11,$AO177))</f>
        <v>-3.6811473684210796</v>
      </c>
      <c r="AW177">
        <f t="shared" si="6"/>
        <v>52.037813231440758</v>
      </c>
      <c r="BB177">
        <v>1130</v>
      </c>
      <c r="BC177">
        <v>1091</v>
      </c>
      <c r="BD177">
        <v>1160</v>
      </c>
      <c r="BE177">
        <v>1127.5697</v>
      </c>
      <c r="BF177">
        <v>1092.1427000000001</v>
      </c>
      <c r="BG177">
        <v>1112.7194</v>
      </c>
    </row>
    <row r="178" spans="1:59" x14ac:dyDescent="0.3">
      <c r="A178">
        <v>1088</v>
      </c>
      <c r="B178">
        <v>1589</v>
      </c>
      <c r="C178">
        <v>1090.1769999999999</v>
      </c>
      <c r="D178">
        <v>1551.6623</v>
      </c>
      <c r="E178">
        <v>1082</v>
      </c>
      <c r="F178">
        <v>1081.8588999999999</v>
      </c>
      <c r="AI178">
        <v>1124</v>
      </c>
      <c r="AJ178">
        <v>1092</v>
      </c>
      <c r="AK178">
        <v>1134</v>
      </c>
      <c r="AL178">
        <v>1123.5739000000001</v>
      </c>
      <c r="AM178">
        <v>1091.4170999999999</v>
      </c>
      <c r="AN178">
        <v>1145.6003000000001</v>
      </c>
      <c r="AO178">
        <f t="shared" si="5"/>
        <v>5</v>
      </c>
      <c r="AU178" cm="1">
        <f t="array" ref="AU178">IF($AO178="","", $AL178 - INDEX($AS$2:$AS$11,$AO178))</f>
        <v>-21.608202631578934</v>
      </c>
      <c r="AV178" cm="1">
        <f t="array" ref="AV178">IF($AO178="","", $AM178 - INDEX($AT$2:$AT$11,$AO178))</f>
        <v>-3.6989473684211589</v>
      </c>
      <c r="AW178">
        <f t="shared" si="6"/>
        <v>79.927604260390055</v>
      </c>
      <c r="BB178">
        <v>1115</v>
      </c>
      <c r="BC178">
        <v>1092</v>
      </c>
      <c r="BD178">
        <v>1257</v>
      </c>
      <c r="BE178">
        <v>1120.2256</v>
      </c>
      <c r="BF178">
        <v>1092.2041999999999</v>
      </c>
      <c r="BG178">
        <v>1220.2702999999999</v>
      </c>
    </row>
    <row r="179" spans="1:59" x14ac:dyDescent="0.3">
      <c r="A179">
        <v>1087</v>
      </c>
      <c r="B179">
        <v>1674</v>
      </c>
      <c r="C179">
        <v>1086.9437</v>
      </c>
      <c r="D179">
        <v>1631.4983999999999</v>
      </c>
      <c r="E179">
        <v>1083</v>
      </c>
      <c r="F179">
        <v>1082.3139000000001</v>
      </c>
      <c r="AI179">
        <v>1114</v>
      </c>
      <c r="AJ179">
        <v>1080</v>
      </c>
      <c r="AK179">
        <v>1252</v>
      </c>
      <c r="AL179">
        <v>1116.7058</v>
      </c>
      <c r="AM179">
        <v>1091.5008</v>
      </c>
      <c r="AN179">
        <v>1248.4427000000001</v>
      </c>
      <c r="AO179">
        <f t="shared" si="5"/>
        <v>5</v>
      </c>
      <c r="AU179" cm="1">
        <f t="array" ref="AU179">IF($AO179="","", $AL179 - INDEX($AS$2:$AS$11,$AO179))</f>
        <v>-28.476302631579074</v>
      </c>
      <c r="AV179" cm="1">
        <f t="array" ref="AV179">IF($AO179="","", $AM179 - INDEX($AT$2:$AT$11,$AO179))</f>
        <v>-3.6152473684210236</v>
      </c>
      <c r="AW179">
        <f t="shared" si="6"/>
        <v>102.94887815117691</v>
      </c>
      <c r="BB179">
        <v>1108</v>
      </c>
      <c r="BC179">
        <v>1092</v>
      </c>
      <c r="BD179">
        <v>1346</v>
      </c>
      <c r="BE179">
        <v>1113.6048000000001</v>
      </c>
      <c r="BF179">
        <v>1092.3595</v>
      </c>
      <c r="BG179">
        <v>1324.2387000000001</v>
      </c>
    </row>
    <row r="180" spans="1:59" x14ac:dyDescent="0.3">
      <c r="A180">
        <v>1085</v>
      </c>
      <c r="B180">
        <v>1731</v>
      </c>
      <c r="C180">
        <v>1085.0984000000001</v>
      </c>
      <c r="D180">
        <v>1695.6045999999999</v>
      </c>
      <c r="E180">
        <v>1085</v>
      </c>
      <c r="F180">
        <v>1082.8468</v>
      </c>
      <c r="AI180">
        <v>1110</v>
      </c>
      <c r="AJ180">
        <v>1091</v>
      </c>
      <c r="AK180">
        <v>1311</v>
      </c>
      <c r="AL180">
        <v>1110.6320000000001</v>
      </c>
      <c r="AM180">
        <v>1091.6845000000001</v>
      </c>
      <c r="AN180">
        <v>1346.7615000000001</v>
      </c>
      <c r="AO180">
        <f t="shared" si="5"/>
        <v>5</v>
      </c>
      <c r="AU180" cm="1">
        <f t="array" ref="AU180">IF($AO180="","", $AL180 - INDEX($AS$2:$AS$11,$AO180))</f>
        <v>-34.550102631578966</v>
      </c>
      <c r="AV180" cm="1">
        <f t="array" ref="AV180">IF($AO180="","", $AM180 - INDEX($AT$2:$AT$11,$AO180))</f>
        <v>-3.4315473684209792</v>
      </c>
      <c r="AW180">
        <f t="shared" si="6"/>
        <v>118.56031376406955</v>
      </c>
      <c r="BB180">
        <v>1106</v>
      </c>
      <c r="BC180">
        <v>1091</v>
      </c>
      <c r="BD180">
        <v>1455</v>
      </c>
      <c r="BE180">
        <v>1107.896</v>
      </c>
      <c r="BF180">
        <v>1092.6041</v>
      </c>
      <c r="BG180">
        <v>1421.6614999999999</v>
      </c>
    </row>
    <row r="181" spans="1:59" x14ac:dyDescent="0.3">
      <c r="A181">
        <v>1084</v>
      </c>
      <c r="B181">
        <v>1765</v>
      </c>
      <c r="C181">
        <v>1084.6929</v>
      </c>
      <c r="D181">
        <v>1742.1618000000001</v>
      </c>
      <c r="E181">
        <v>1085</v>
      </c>
      <c r="F181">
        <v>1083.4416000000001</v>
      </c>
      <c r="AI181">
        <v>1107</v>
      </c>
      <c r="AJ181">
        <v>1092</v>
      </c>
      <c r="AK181">
        <v>1427</v>
      </c>
      <c r="AL181">
        <v>1105.5207</v>
      </c>
      <c r="AM181">
        <v>1091.9639999999999</v>
      </c>
      <c r="AN181">
        <v>1437.8406</v>
      </c>
      <c r="AO181">
        <f t="shared" si="5"/>
        <v>5</v>
      </c>
      <c r="AU181" cm="1">
        <f t="array" ref="AU181">IF($AO181="","", $AL181 - INDEX($AS$2:$AS$11,$AO181))</f>
        <v>-39.661402631578994</v>
      </c>
      <c r="AV181" cm="1">
        <f t="array" ref="AV181">IF($AO181="","", $AM181 - INDEX($AT$2:$AT$11,$AO181))</f>
        <v>-3.1520473684211083</v>
      </c>
      <c r="AW181">
        <f t="shared" si="6"/>
        <v>125.01461979275859</v>
      </c>
      <c r="BB181">
        <v>1100</v>
      </c>
      <c r="BC181">
        <v>1094</v>
      </c>
      <c r="BD181">
        <v>1535</v>
      </c>
      <c r="BE181">
        <v>1103.2619999999999</v>
      </c>
      <c r="BF181">
        <v>1092.9309000000001</v>
      </c>
      <c r="BG181">
        <v>1509.7630999999999</v>
      </c>
    </row>
    <row r="182" spans="1:59" x14ac:dyDescent="0.3">
      <c r="A182">
        <v>1084</v>
      </c>
      <c r="B182">
        <v>1778</v>
      </c>
      <c r="C182">
        <v>1085.7381</v>
      </c>
      <c r="D182">
        <v>1769.855</v>
      </c>
      <c r="E182">
        <v>1083</v>
      </c>
      <c r="F182">
        <v>1084.0802000000001</v>
      </c>
      <c r="AI182">
        <v>1104</v>
      </c>
      <c r="AJ182">
        <v>1092</v>
      </c>
      <c r="AK182">
        <v>1504</v>
      </c>
      <c r="AL182">
        <v>1101.5134</v>
      </c>
      <c r="AM182">
        <v>1092.3323</v>
      </c>
      <c r="AN182">
        <v>1519.1679999999999</v>
      </c>
      <c r="AO182">
        <f t="shared" si="5"/>
        <v>5</v>
      </c>
      <c r="AU182" cm="1">
        <f t="array" ref="AU182">IF($AO182="","", $AL182 - INDEX($AS$2:$AS$11,$AO182))</f>
        <v>-43.668702631578981</v>
      </c>
      <c r="AV182" cm="1">
        <f t="array" ref="AV182">IF($AO182="","", $AM182 - INDEX($AT$2:$AT$11,$AO182))</f>
        <v>-2.7837473684210181</v>
      </c>
      <c r="AW182">
        <f t="shared" si="6"/>
        <v>121.56263603301798</v>
      </c>
      <c r="BB182">
        <v>1095</v>
      </c>
      <c r="BC182">
        <v>1093</v>
      </c>
      <c r="BD182">
        <v>1607</v>
      </c>
      <c r="BE182">
        <v>1099.8344999999999</v>
      </c>
      <c r="BF182">
        <v>1093.3304000000001</v>
      </c>
      <c r="BG182">
        <v>1586.0340000000001</v>
      </c>
    </row>
    <row r="183" spans="1:59" x14ac:dyDescent="0.3">
      <c r="A183">
        <v>1083</v>
      </c>
      <c r="B183">
        <v>1776</v>
      </c>
      <c r="C183">
        <v>1088.2032999999999</v>
      </c>
      <c r="D183">
        <v>1777.9099000000001</v>
      </c>
      <c r="E183">
        <v>1083</v>
      </c>
      <c r="F183">
        <v>1084.7438</v>
      </c>
      <c r="AI183">
        <v>1096</v>
      </c>
      <c r="AJ183">
        <v>1093</v>
      </c>
      <c r="AK183">
        <v>1571</v>
      </c>
      <c r="AL183">
        <v>1098.7209</v>
      </c>
      <c r="AM183">
        <v>1092.7801999999999</v>
      </c>
      <c r="AN183">
        <v>1588.5044</v>
      </c>
      <c r="AO183">
        <f t="shared" si="5"/>
        <v>5</v>
      </c>
      <c r="AU183" cm="1">
        <f t="array" ref="AU183">IF($AO183="","", $AL183 - INDEX($AS$2:$AS$11,$AO183))</f>
        <v>-46.461202631578999</v>
      </c>
      <c r="AV183" cm="1">
        <f t="array" ref="AV183">IF($AO183="","", $AM183 - INDEX($AT$2:$AT$11,$AO183))</f>
        <v>-2.3358473684211276</v>
      </c>
      <c r="AW183">
        <f t="shared" si="6"/>
        <v>108.52627790065458</v>
      </c>
      <c r="BB183">
        <v>1095</v>
      </c>
      <c r="BC183">
        <v>1093</v>
      </c>
      <c r="BD183">
        <v>1674</v>
      </c>
      <c r="BE183">
        <v>1097.711</v>
      </c>
      <c r="BF183">
        <v>1093.7910999999999</v>
      </c>
      <c r="BG183">
        <v>1648.3030000000001</v>
      </c>
    </row>
    <row r="184" spans="1:59" x14ac:dyDescent="0.3">
      <c r="A184">
        <v>1090</v>
      </c>
      <c r="B184">
        <v>1754</v>
      </c>
      <c r="C184">
        <v>1092.0172</v>
      </c>
      <c r="D184">
        <v>1766.1144999999999</v>
      </c>
      <c r="E184">
        <v>1086</v>
      </c>
      <c r="F184">
        <v>1085.4127000000001</v>
      </c>
      <c r="AI184">
        <v>1098</v>
      </c>
      <c r="AJ184">
        <v>1096</v>
      </c>
      <c r="AK184">
        <v>1635</v>
      </c>
      <c r="AL184">
        <v>1097.2198000000001</v>
      </c>
      <c r="AM184">
        <v>1093.296</v>
      </c>
      <c r="AN184">
        <v>1643.9463000000001</v>
      </c>
      <c r="AO184">
        <f t="shared" si="5"/>
        <v>5</v>
      </c>
      <c r="AU184" cm="1">
        <f t="array" ref="AU184">IF($AO184="","", $AL184 - INDEX($AS$2:$AS$11,$AO184))</f>
        <v>-47.96230263157895</v>
      </c>
      <c r="AV184" cm="1">
        <f t="array" ref="AV184">IF($AO184="","", $AM184 - INDEX($AT$2:$AT$11,$AO184))</f>
        <v>-1.820047368421001</v>
      </c>
      <c r="AW184">
        <f t="shared" si="6"/>
        <v>87.293662688016923</v>
      </c>
      <c r="BB184">
        <v>1093</v>
      </c>
      <c r="BC184">
        <v>1092</v>
      </c>
      <c r="BD184">
        <v>1717</v>
      </c>
      <c r="BE184">
        <v>1096.9513999999999</v>
      </c>
      <c r="BF184">
        <v>1094.2998</v>
      </c>
      <c r="BG184">
        <v>1694.7982</v>
      </c>
    </row>
    <row r="185" spans="1:59" x14ac:dyDescent="0.3">
      <c r="A185">
        <v>1098</v>
      </c>
      <c r="B185">
        <v>1722</v>
      </c>
      <c r="C185">
        <v>1097.0700999999999</v>
      </c>
      <c r="D185">
        <v>1734.8244999999999</v>
      </c>
      <c r="E185">
        <v>1086</v>
      </c>
      <c r="F185">
        <v>1086.0672</v>
      </c>
      <c r="AI185">
        <v>1098</v>
      </c>
      <c r="AJ185">
        <v>1094</v>
      </c>
      <c r="AK185">
        <v>1683</v>
      </c>
      <c r="AL185">
        <v>1097.0510999999999</v>
      </c>
      <c r="AM185">
        <v>1093.8666000000001</v>
      </c>
      <c r="AN185">
        <v>1683.9777999999999</v>
      </c>
      <c r="AO185">
        <f t="shared" si="5"/>
        <v>5</v>
      </c>
      <c r="AU185" cm="1">
        <f t="array" ref="AU185">IF($AO185="","", $AL185 - INDEX($AS$2:$AS$11,$AO185))</f>
        <v>-48.131002631579122</v>
      </c>
      <c r="AV185" cm="1">
        <f t="array" ref="AV185">IF($AO185="","", $AM185 - INDEX($AT$2:$AT$11,$AO185))</f>
        <v>-1.2494473684209879</v>
      </c>
      <c r="AW185">
        <f t="shared" si="6"/>
        <v>60.137154577490179</v>
      </c>
      <c r="BB185">
        <v>1096</v>
      </c>
      <c r="BC185">
        <v>1094</v>
      </c>
      <c r="BD185">
        <v>1740</v>
      </c>
      <c r="BE185">
        <v>1097.5769</v>
      </c>
      <c r="BF185">
        <v>1094.8418999999999</v>
      </c>
      <c r="BG185">
        <v>1724.1980000000001</v>
      </c>
    </row>
    <row r="186" spans="1:59" x14ac:dyDescent="0.3">
      <c r="A186">
        <v>1106</v>
      </c>
      <c r="B186">
        <v>1671</v>
      </c>
      <c r="C186">
        <v>1103.2170000000001</v>
      </c>
      <c r="D186">
        <v>1684.9519</v>
      </c>
      <c r="E186">
        <v>1087</v>
      </c>
      <c r="F186">
        <v>1086.6880000000001</v>
      </c>
      <c r="AI186">
        <v>1102</v>
      </c>
      <c r="AJ186">
        <v>1095</v>
      </c>
      <c r="AK186">
        <v>1710</v>
      </c>
      <c r="AL186">
        <v>1098.2184</v>
      </c>
      <c r="AM186">
        <v>1094.4768999999999</v>
      </c>
      <c r="AN186">
        <v>1707.5128999999999</v>
      </c>
      <c r="AO186">
        <f t="shared" si="5"/>
        <v>5</v>
      </c>
      <c r="AU186" cm="1">
        <f t="array" ref="AU186">IF($AO186="","", $AL186 - INDEX($AS$2:$AS$11,$AO186))</f>
        <v>-46.963702631579054</v>
      </c>
      <c r="AV186" cm="1">
        <f t="array" ref="AV186">IF($AO186="","", $AM186 - INDEX($AT$2:$AT$11,$AO186))</f>
        <v>-0.63914736842116326</v>
      </c>
      <c r="AW186">
        <f t="shared" si="6"/>
        <v>30.016726948287811</v>
      </c>
      <c r="BB186">
        <v>1099</v>
      </c>
      <c r="BC186">
        <v>1095</v>
      </c>
      <c r="BD186">
        <v>1739</v>
      </c>
      <c r="BE186">
        <v>1099.5688</v>
      </c>
      <c r="BF186">
        <v>1095.4018000000001</v>
      </c>
      <c r="BG186">
        <v>1735.6679999999999</v>
      </c>
    </row>
    <row r="187" spans="1:59" x14ac:dyDescent="0.3">
      <c r="A187">
        <v>1109</v>
      </c>
      <c r="B187">
        <v>1609</v>
      </c>
      <c r="C187">
        <v>1110.2817</v>
      </c>
      <c r="D187">
        <v>1617.9389000000001</v>
      </c>
      <c r="E187">
        <v>1088</v>
      </c>
      <c r="F187">
        <v>1087.2570000000001</v>
      </c>
      <c r="AI187">
        <v>1100</v>
      </c>
      <c r="AJ187">
        <v>1094</v>
      </c>
      <c r="AK187">
        <v>1710</v>
      </c>
      <c r="AL187">
        <v>1100.6883</v>
      </c>
      <c r="AM187">
        <v>1095.1110000000001</v>
      </c>
      <c r="AN187">
        <v>1713.9253000000001</v>
      </c>
      <c r="AO187">
        <f t="shared" si="5"/>
        <v>5</v>
      </c>
      <c r="AU187" cm="1">
        <f t="array" ref="AU187">IF($AO187="","", $AL187 - INDEX($AS$2:$AS$11,$AO187))</f>
        <v>-44.493802631579001</v>
      </c>
      <c r="AV187" cm="1">
        <f t="array" ref="AV187">IF($AO187="","", $AM187 - INDEX($AT$2:$AT$11,$AO187))</f>
        <v>-5.0473684209464409E-3</v>
      </c>
      <c r="AW187">
        <f t="shared" si="6"/>
        <v>0.2245766143304555</v>
      </c>
      <c r="BB187">
        <v>1103</v>
      </c>
      <c r="BC187">
        <v>1095</v>
      </c>
      <c r="BD187">
        <v>1721</v>
      </c>
      <c r="BE187">
        <v>1102.8695</v>
      </c>
      <c r="BF187">
        <v>1095.9634000000001</v>
      </c>
      <c r="BG187">
        <v>1728.885</v>
      </c>
    </row>
    <row r="188" spans="1:59" x14ac:dyDescent="0.3">
      <c r="A188">
        <v>1117</v>
      </c>
      <c r="B188">
        <v>1530</v>
      </c>
      <c r="C188">
        <v>1118.0617999999999</v>
      </c>
      <c r="D188">
        <v>1535.7154</v>
      </c>
      <c r="E188">
        <v>1089</v>
      </c>
      <c r="F188">
        <v>1087.7577000000001</v>
      </c>
      <c r="AI188">
        <v>1104</v>
      </c>
      <c r="AJ188">
        <v>1094</v>
      </c>
      <c r="AK188">
        <v>1692</v>
      </c>
      <c r="AL188">
        <v>1104.3910000000001</v>
      </c>
      <c r="AM188">
        <v>1095.752</v>
      </c>
      <c r="AN188">
        <v>1703.0654999999999</v>
      </c>
      <c r="AO188">
        <f t="shared" si="5"/>
        <v>5</v>
      </c>
      <c r="AU188" cm="1">
        <f t="array" ref="AU188">IF($AO188="","", $AL188 - INDEX($AS$2:$AS$11,$AO188))</f>
        <v>-40.791102631578951</v>
      </c>
      <c r="AV188" cm="1">
        <f t="array" ref="AV188">IF($AO188="","", $AM188 - INDEX($AT$2:$AT$11,$AO188))</f>
        <v>0.63595263157890258</v>
      </c>
      <c r="AW188">
        <f t="shared" si="6"/>
        <v>-25.941209063557732</v>
      </c>
      <c r="BB188">
        <v>1108</v>
      </c>
      <c r="BC188">
        <v>1095</v>
      </c>
      <c r="BD188">
        <v>1687</v>
      </c>
      <c r="BE188">
        <v>1107.3839</v>
      </c>
      <c r="BF188">
        <v>1096.5106000000001</v>
      </c>
      <c r="BG188">
        <v>1704.0459000000001</v>
      </c>
    </row>
    <row r="189" spans="1:59" x14ac:dyDescent="0.3">
      <c r="A189">
        <v>1128</v>
      </c>
      <c r="B189">
        <v>1438</v>
      </c>
      <c r="C189">
        <v>1126.3348000000001</v>
      </c>
      <c r="D189">
        <v>1440.6441</v>
      </c>
      <c r="E189">
        <v>1088</v>
      </c>
      <c r="F189">
        <v>1088.1753000000001</v>
      </c>
      <c r="AI189">
        <v>1110</v>
      </c>
      <c r="AJ189">
        <v>1096</v>
      </c>
      <c r="AK189">
        <v>1658</v>
      </c>
      <c r="AL189">
        <v>1109.2226000000001</v>
      </c>
      <c r="AM189">
        <v>1096.3831</v>
      </c>
      <c r="AN189">
        <v>1675.2646999999999</v>
      </c>
      <c r="AO189">
        <f t="shared" si="5"/>
        <v>5</v>
      </c>
      <c r="AU189" cm="1">
        <f t="array" ref="AU189">IF($AO189="","", $AL189 - INDEX($AS$2:$AS$11,$AO189))</f>
        <v>-35.959502631578971</v>
      </c>
      <c r="AV189" cm="1">
        <f t="array" ref="AV189">IF($AO189="","", $AM189 - INDEX($AT$2:$AT$11,$AO189))</f>
        <v>1.267052631578963</v>
      </c>
      <c r="AW189">
        <f t="shared" si="6"/>
        <v>-45.562582439612783</v>
      </c>
      <c r="BB189">
        <v>1113</v>
      </c>
      <c r="BC189">
        <v>1097</v>
      </c>
      <c r="BD189">
        <v>1639</v>
      </c>
      <c r="BE189">
        <v>1112.9824000000001</v>
      </c>
      <c r="BF189">
        <v>1097.0279</v>
      </c>
      <c r="BG189">
        <v>1661.8615</v>
      </c>
    </row>
    <row r="190" spans="1:59" x14ac:dyDescent="0.3">
      <c r="A190">
        <v>1135</v>
      </c>
      <c r="B190">
        <v>1331</v>
      </c>
      <c r="C190">
        <v>1134.8643</v>
      </c>
      <c r="D190">
        <v>1335.4519</v>
      </c>
      <c r="E190">
        <v>1090</v>
      </c>
      <c r="F190">
        <v>1088.4978000000001</v>
      </c>
      <c r="AI190">
        <v>1115</v>
      </c>
      <c r="AJ190">
        <v>1097</v>
      </c>
      <c r="AK190">
        <v>1611</v>
      </c>
      <c r="AL190">
        <v>1115.0474999999999</v>
      </c>
      <c r="AM190">
        <v>1096.9875</v>
      </c>
      <c r="AN190">
        <v>1631.3253</v>
      </c>
      <c r="AO190">
        <f t="shared" si="5"/>
        <v>5</v>
      </c>
      <c r="AU190" cm="1">
        <f t="array" ref="AU190">IF($AO190="","", $AL190 - INDEX($AS$2:$AS$11,$AO190))</f>
        <v>-30.134602631579128</v>
      </c>
      <c r="AV190" cm="1">
        <f t="array" ref="AV190">IF($AO190="","", $AM190 - INDEX($AT$2:$AT$11,$AO190))</f>
        <v>1.8714526315789044</v>
      </c>
      <c r="AW190">
        <f t="shared" si="6"/>
        <v>-56.395481396453334</v>
      </c>
      <c r="BB190">
        <v>1123</v>
      </c>
      <c r="BC190">
        <v>1097</v>
      </c>
      <c r="BD190">
        <v>1583</v>
      </c>
      <c r="BE190">
        <v>1119.5044</v>
      </c>
      <c r="BF190">
        <v>1097.5002999999999</v>
      </c>
      <c r="BG190">
        <v>1603.537</v>
      </c>
    </row>
    <row r="191" spans="1:59" x14ac:dyDescent="0.3">
      <c r="A191">
        <v>1144</v>
      </c>
      <c r="B191">
        <v>1227</v>
      </c>
      <c r="C191">
        <v>1143.4065000000001</v>
      </c>
      <c r="D191">
        <v>1223.1521</v>
      </c>
      <c r="E191">
        <v>1090</v>
      </c>
      <c r="F191">
        <v>1088.7157</v>
      </c>
      <c r="AI191">
        <v>1119</v>
      </c>
      <c r="AJ191">
        <v>1098</v>
      </c>
      <c r="AK191">
        <v>1558</v>
      </c>
      <c r="AL191">
        <v>1121.7029</v>
      </c>
      <c r="AM191">
        <v>1097.5492999999999</v>
      </c>
      <c r="AN191">
        <v>1572.4984999999999</v>
      </c>
      <c r="AO191">
        <f t="shared" si="5"/>
        <v>5</v>
      </c>
      <c r="AU191" cm="1">
        <f t="array" ref="AU191">IF($AO191="","", $AL191 - INDEX($AS$2:$AS$11,$AO191))</f>
        <v>-23.479202631579028</v>
      </c>
      <c r="AV191" cm="1">
        <f t="array" ref="AV191">IF($AO191="","", $AM191 - INDEX($AT$2:$AT$11,$AO191))</f>
        <v>2.4332526315788527</v>
      </c>
      <c r="AW191">
        <f t="shared" si="6"/>
        <v>-57.130831590662794</v>
      </c>
      <c r="BB191">
        <v>1128</v>
      </c>
      <c r="BC191">
        <v>1096</v>
      </c>
      <c r="BD191">
        <v>1511</v>
      </c>
      <c r="BE191">
        <v>1126.7628999999999</v>
      </c>
      <c r="BF191">
        <v>1097.9145000000001</v>
      </c>
      <c r="BG191">
        <v>1530.7363</v>
      </c>
    </row>
    <row r="192" spans="1:59" x14ac:dyDescent="0.3">
      <c r="A192">
        <v>1143</v>
      </c>
      <c r="B192">
        <v>1075</v>
      </c>
      <c r="C192">
        <v>1151.7176999999999</v>
      </c>
      <c r="D192">
        <v>1106.9581000000001</v>
      </c>
      <c r="E192">
        <v>1070</v>
      </c>
      <c r="F192">
        <v>1088.8226999999999</v>
      </c>
      <c r="AI192">
        <v>1128</v>
      </c>
      <c r="AJ192">
        <v>1098</v>
      </c>
      <c r="AK192">
        <v>1491</v>
      </c>
      <c r="AL192">
        <v>1129.0026</v>
      </c>
      <c r="AM192">
        <v>1098.0535</v>
      </c>
      <c r="AN192">
        <v>1500.4489000000001</v>
      </c>
      <c r="AO192">
        <f t="shared" si="5"/>
        <v>6</v>
      </c>
      <c r="AU192" cm="1">
        <f t="array" ref="AU192">IF($AO192="","", $AL192 - INDEX($AS$2:$AS$11,$AO192))</f>
        <v>-16.769707894736484</v>
      </c>
      <c r="AV192" cm="1">
        <f t="array" ref="AV192">IF($AO192="","", $AM192 - INDEX($AT$2:$AT$11,$AO192))</f>
        <v>1.6765605263160523</v>
      </c>
      <c r="AW192">
        <f t="shared" si="6"/>
        <v>-28.115430294165858</v>
      </c>
      <c r="BB192">
        <v>1136</v>
      </c>
      <c r="BC192">
        <v>1097</v>
      </c>
      <c r="BD192">
        <v>1431</v>
      </c>
      <c r="BE192">
        <v>1134.5499</v>
      </c>
      <c r="BF192">
        <v>1098.2587000000001</v>
      </c>
      <c r="BG192">
        <v>1445.5355</v>
      </c>
    </row>
    <row r="193" spans="1:59" x14ac:dyDescent="0.3">
      <c r="A193">
        <v>1156</v>
      </c>
      <c r="B193">
        <v>1010</v>
      </c>
      <c r="C193">
        <v>1159.5606</v>
      </c>
      <c r="D193">
        <v>990.19169999999997</v>
      </c>
      <c r="E193">
        <v>1089</v>
      </c>
      <c r="F193">
        <v>1088.8154999999999</v>
      </c>
      <c r="AI193">
        <v>1132</v>
      </c>
      <c r="AJ193">
        <v>1097</v>
      </c>
      <c r="AK193">
        <v>1419</v>
      </c>
      <c r="AL193">
        <v>1136.7427</v>
      </c>
      <c r="AM193">
        <v>1098.4869000000001</v>
      </c>
      <c r="AN193">
        <v>1417.2085</v>
      </c>
      <c r="AO193">
        <f t="shared" si="5"/>
        <v>6</v>
      </c>
      <c r="AU193" cm="1">
        <f t="array" ref="AU193">IF($AO193="","", $AL193 - INDEX($AS$2:$AS$11,$AO193))</f>
        <v>-9.0296078947365004</v>
      </c>
      <c r="AV193" cm="1">
        <f t="array" ref="AV193">IF($AO193="","", $AM193 - INDEX($AT$2:$AT$11,$AO193))</f>
        <v>2.109960526316172</v>
      </c>
      <c r="AW193">
        <f t="shared" si="6"/>
        <v>-19.052116226006888</v>
      </c>
      <c r="BB193">
        <v>1145</v>
      </c>
      <c r="BC193">
        <v>1098</v>
      </c>
      <c r="BD193">
        <v>1342</v>
      </c>
      <c r="BE193">
        <v>1142.6425999999999</v>
      </c>
      <c r="BF193">
        <v>1098.5229999999999</v>
      </c>
      <c r="BG193">
        <v>1350.3626999999999</v>
      </c>
    </row>
    <row r="194" spans="1:59" x14ac:dyDescent="0.3">
      <c r="A194">
        <v>1167</v>
      </c>
      <c r="B194">
        <v>891</v>
      </c>
      <c r="C194">
        <v>1166.7116000000001</v>
      </c>
      <c r="D194">
        <v>876.18859999999995</v>
      </c>
      <c r="E194">
        <v>1090</v>
      </c>
      <c r="F194">
        <v>1088.6943000000001</v>
      </c>
      <c r="AI194">
        <v>1142</v>
      </c>
      <c r="AJ194">
        <v>1098</v>
      </c>
      <c r="AK194">
        <v>1334</v>
      </c>
      <c r="AL194">
        <v>1144.7072000000001</v>
      </c>
      <c r="AM194">
        <v>1098.8380999999999</v>
      </c>
      <c r="AN194">
        <v>1325.1197</v>
      </c>
      <c r="AO194">
        <f t="shared" si="5"/>
        <v>6</v>
      </c>
      <c r="AU194" cm="1">
        <f t="array" ref="AU194">IF($AO194="","", $AL194 - INDEX($AS$2:$AS$11,$AO194))</f>
        <v>-1.0651078947364567</v>
      </c>
      <c r="AV194" cm="1">
        <f t="array" ref="AV194">IF($AO194="","", $AM194 - INDEX($AT$2:$AT$11,$AO194))</f>
        <v>2.4611605263160072</v>
      </c>
      <c r="AW194">
        <f t="shared" si="6"/>
        <v>-2.6214015067929122</v>
      </c>
      <c r="BB194">
        <v>1150</v>
      </c>
      <c r="BC194">
        <v>1095</v>
      </c>
      <c r="BD194">
        <v>1239</v>
      </c>
      <c r="BE194">
        <v>1150.8091999999999</v>
      </c>
      <c r="BF194">
        <v>1098.7001</v>
      </c>
      <c r="BG194">
        <v>1247.9294</v>
      </c>
    </row>
    <row r="195" spans="1:59" x14ac:dyDescent="0.3">
      <c r="A195">
        <v>1173</v>
      </c>
      <c r="B195">
        <v>777</v>
      </c>
      <c r="C195">
        <v>1172.9670000000001</v>
      </c>
      <c r="D195">
        <v>768.2029</v>
      </c>
      <c r="E195">
        <v>1088</v>
      </c>
      <c r="F195">
        <v>1088.4622999999999</v>
      </c>
      <c r="AI195">
        <v>1150</v>
      </c>
      <c r="AJ195">
        <v>1098</v>
      </c>
      <c r="AK195">
        <v>1240</v>
      </c>
      <c r="AL195">
        <v>1152.6739</v>
      </c>
      <c r="AM195">
        <v>1099.098</v>
      </c>
      <c r="AN195">
        <v>1226.7698</v>
      </c>
      <c r="AO195">
        <f t="shared" ref="AO195:AO258" si="7">IF(ROW()-ROW($AL$2)+1&lt;=$AP$3, INT((ROW()-ROW($AL$2))/$AP$1)+1, "")</f>
        <v>6</v>
      </c>
      <c r="AU195" cm="1">
        <f t="array" ref="AU195">IF($AO195="","", $AL195 - INDEX($AS$2:$AS$11,$AO195))</f>
        <v>6.9015921052634894</v>
      </c>
      <c r="AV195" cm="1">
        <f t="array" ref="AV195">IF($AO195="","", $AM195 - INDEX($AT$2:$AT$11,$AO195))</f>
        <v>2.7210605263160232</v>
      </c>
      <c r="AW195">
        <f t="shared" ref="AW195:AW258" si="8">IF($AO195="","", $AU195*$AV195)</f>
        <v>18.77964984636678</v>
      </c>
      <c r="BB195">
        <v>1158</v>
      </c>
      <c r="BC195">
        <v>1098</v>
      </c>
      <c r="BD195">
        <v>1141</v>
      </c>
      <c r="BE195">
        <v>1158.8162</v>
      </c>
      <c r="BF195">
        <v>1098.7850000000001</v>
      </c>
      <c r="BG195">
        <v>1141.1528000000001</v>
      </c>
    </row>
    <row r="196" spans="1:59" x14ac:dyDescent="0.3">
      <c r="AI196">
        <v>1161</v>
      </c>
      <c r="AJ196">
        <v>1098</v>
      </c>
      <c r="AK196">
        <v>1145</v>
      </c>
      <c r="AL196">
        <v>1160.4208000000001</v>
      </c>
      <c r="AM196">
        <v>1099.2602999999999</v>
      </c>
      <c r="AN196">
        <v>1124.9192</v>
      </c>
      <c r="AO196">
        <f t="shared" si="7"/>
        <v>6</v>
      </c>
      <c r="AU196" cm="1">
        <f t="array" ref="AU196">IF($AO196="","", $AL196 - INDEX($AS$2:$AS$11,$AO196))</f>
        <v>14.648492105263585</v>
      </c>
      <c r="AV196" cm="1">
        <f t="array" ref="AV196">IF($AO196="","", $AM196 - INDEX($AT$2:$AT$11,$AO196))</f>
        <v>2.8833605263159825</v>
      </c>
      <c r="AW196">
        <f t="shared" si="8"/>
        <v>42.236883906368327</v>
      </c>
      <c r="BB196">
        <v>1166</v>
      </c>
      <c r="BC196">
        <v>1100</v>
      </c>
      <c r="BD196">
        <v>1044</v>
      </c>
      <c r="BE196">
        <v>1166.4347</v>
      </c>
      <c r="BF196">
        <v>1098.7754</v>
      </c>
      <c r="BG196">
        <v>1033.0726999999999</v>
      </c>
    </row>
    <row r="197" spans="1:59" x14ac:dyDescent="0.3">
      <c r="AI197">
        <v>1163</v>
      </c>
      <c r="AJ197">
        <v>1097</v>
      </c>
      <c r="AK197">
        <v>1046</v>
      </c>
      <c r="AL197">
        <v>1167.7320999999999</v>
      </c>
      <c r="AM197">
        <v>1099.3209999999999</v>
      </c>
      <c r="AN197">
        <v>1022.424</v>
      </c>
      <c r="AO197">
        <f t="shared" si="7"/>
        <v>6</v>
      </c>
      <c r="AU197" cm="1">
        <f t="array" ref="AU197">IF($AO197="","", $AL197 - INDEX($AS$2:$AS$11,$AO197))</f>
        <v>21.959792105263432</v>
      </c>
      <c r="AV197" cm="1">
        <f t="array" ref="AV197">IF($AO197="","", $AM197 - INDEX($AT$2:$AT$11,$AO197))</f>
        <v>2.9440605263159796</v>
      </c>
      <c r="AW197">
        <f t="shared" si="8"/>
        <v>64.650957103211354</v>
      </c>
      <c r="BB197">
        <v>1168</v>
      </c>
      <c r="BC197">
        <v>1100</v>
      </c>
      <c r="BD197">
        <v>960</v>
      </c>
      <c r="BE197">
        <v>1173.4467999999999</v>
      </c>
      <c r="BF197">
        <v>1098.6718000000001</v>
      </c>
      <c r="BG197">
        <v>926.76490000000001</v>
      </c>
    </row>
    <row r="198" spans="1:59" x14ac:dyDescent="0.3">
      <c r="AI198">
        <v>1178</v>
      </c>
      <c r="AJ198">
        <v>1094</v>
      </c>
      <c r="AK198">
        <v>947</v>
      </c>
      <c r="AL198">
        <v>1174.4045000000001</v>
      </c>
      <c r="AM198">
        <v>1099.2793999999999</v>
      </c>
      <c r="AN198">
        <v>922.15660000000003</v>
      </c>
      <c r="AO198">
        <f t="shared" si="7"/>
        <v>6</v>
      </c>
      <c r="AU198" cm="1">
        <f t="array" ref="AU198">IF($AO198="","", $AL198 - INDEX($AS$2:$AS$11,$AO198))</f>
        <v>28.632192105263584</v>
      </c>
      <c r="AV198" cm="1">
        <f t="array" ref="AV198">IF($AO198="","", $AM198 - INDEX($AT$2:$AT$11,$AO198))</f>
        <v>2.9024605263159629</v>
      </c>
      <c r="AW198">
        <f t="shared" si="8"/>
        <v>83.103807367423101</v>
      </c>
      <c r="BB198">
        <v>1178</v>
      </c>
      <c r="BC198">
        <v>1099</v>
      </c>
      <c r="BD198">
        <v>845</v>
      </c>
      <c r="BE198">
        <v>1179.6521</v>
      </c>
      <c r="BF198">
        <v>1098.4773</v>
      </c>
      <c r="BG198">
        <v>825.25340000000006</v>
      </c>
    </row>
    <row r="199" spans="1:59" x14ac:dyDescent="0.3">
      <c r="AI199">
        <v>1179</v>
      </c>
      <c r="AJ199">
        <v>1099</v>
      </c>
      <c r="AK199">
        <v>858</v>
      </c>
      <c r="AL199">
        <v>1180.2524000000001</v>
      </c>
      <c r="AM199">
        <v>1099.1374000000001</v>
      </c>
      <c r="AN199">
        <v>826.92550000000006</v>
      </c>
      <c r="AO199">
        <f t="shared" si="7"/>
        <v>6</v>
      </c>
      <c r="AU199" cm="1">
        <f t="array" ref="AU199">IF($AO199="","", $AL199 - INDEX($AS$2:$AS$11,$AO199))</f>
        <v>34.480092105263566</v>
      </c>
      <c r="AV199" cm="1">
        <f t="array" ref="AV199">IF($AO199="","", $AM199 - INDEX($AT$2:$AT$11,$AO199))</f>
        <v>2.7604605263161375</v>
      </c>
      <c r="AW199">
        <f t="shared" si="8"/>
        <v>95.180933200324759</v>
      </c>
      <c r="BB199">
        <v>1183</v>
      </c>
      <c r="BC199">
        <v>1097</v>
      </c>
      <c r="BD199">
        <v>746</v>
      </c>
      <c r="BE199">
        <v>1184.8735999999999</v>
      </c>
      <c r="BF199">
        <v>1098.1976999999999</v>
      </c>
      <c r="BG199">
        <v>731.42449999999997</v>
      </c>
    </row>
    <row r="200" spans="1:59" x14ac:dyDescent="0.3">
      <c r="AI200">
        <v>1182</v>
      </c>
      <c r="AJ200">
        <v>1099</v>
      </c>
      <c r="AK200">
        <v>762</v>
      </c>
      <c r="AL200">
        <v>1185.1139000000001</v>
      </c>
      <c r="AM200">
        <v>1098.9000000000001</v>
      </c>
      <c r="AN200">
        <v>739.39679999999998</v>
      </c>
      <c r="AO200">
        <f t="shared" si="7"/>
        <v>6</v>
      </c>
      <c r="AU200" cm="1">
        <f t="array" ref="AU200">IF($AO200="","", $AL200 - INDEX($AS$2:$AS$11,$AO200))</f>
        <v>39.341592105263544</v>
      </c>
      <c r="AV200" cm="1">
        <f t="array" ref="AV200">IF($AO200="","", $AM200 - INDEX($AT$2:$AT$11,$AO200))</f>
        <v>2.5230605263161578</v>
      </c>
      <c r="AW200">
        <f t="shared" si="8"/>
        <v>99.261218083221834</v>
      </c>
      <c r="BB200">
        <v>1191</v>
      </c>
      <c r="BC200">
        <v>1097</v>
      </c>
      <c r="BD200">
        <v>669</v>
      </c>
      <c r="BE200">
        <v>1188.9621999999999</v>
      </c>
      <c r="BF200">
        <v>1097.8412000000001</v>
      </c>
      <c r="BG200">
        <v>647.94460000000004</v>
      </c>
    </row>
    <row r="201" spans="1:59" x14ac:dyDescent="0.3">
      <c r="AI201">
        <v>1186</v>
      </c>
      <c r="AJ201">
        <v>1098</v>
      </c>
      <c r="AK201">
        <v>691</v>
      </c>
      <c r="AL201">
        <v>1188.8543999999999</v>
      </c>
      <c r="AM201">
        <v>1098.5746999999999</v>
      </c>
      <c r="AN201">
        <v>662.01969999999994</v>
      </c>
      <c r="AO201">
        <f t="shared" si="7"/>
        <v>6</v>
      </c>
      <c r="AU201" cm="1">
        <f t="array" ref="AU201">IF($AO201="","", $AL201 - INDEX($AS$2:$AS$11,$AO201))</f>
        <v>43.082092105263428</v>
      </c>
      <c r="AV201" cm="1">
        <f t="array" ref="AV201">IF($AO201="","", $AM201 - INDEX($AT$2:$AT$11,$AO201))</f>
        <v>2.1977605263159603</v>
      </c>
      <c r="AW201">
        <f t="shared" si="8"/>
        <v>94.684121420056428</v>
      </c>
      <c r="BB201">
        <v>1189</v>
      </c>
      <c r="BC201">
        <v>1095</v>
      </c>
      <c r="BD201">
        <v>587</v>
      </c>
      <c r="BE201">
        <v>1191.8012000000001</v>
      </c>
      <c r="BF201">
        <v>1097.4181000000001</v>
      </c>
      <c r="BG201">
        <v>577.18399999999997</v>
      </c>
    </row>
    <row r="202" spans="1:59" x14ac:dyDescent="0.3">
      <c r="AI202">
        <v>1190</v>
      </c>
      <c r="AJ202">
        <v>1098</v>
      </c>
      <c r="AK202">
        <v>616</v>
      </c>
      <c r="AL202">
        <v>1191.3710000000001</v>
      </c>
      <c r="AM202">
        <v>1098.1717000000001</v>
      </c>
      <c r="AN202">
        <v>596.95820000000003</v>
      </c>
      <c r="AO202">
        <f t="shared" si="7"/>
        <v>6</v>
      </c>
      <c r="AU202" cm="1">
        <f t="array" ref="AU202">IF($AO202="","", $AL202 - INDEX($AS$2:$AS$11,$AO202))</f>
        <v>45.598692105263581</v>
      </c>
      <c r="AV202" cm="1">
        <f t="array" ref="AV202">IF($AO202="","", $AM202 - INDEX($AT$2:$AT$11,$AO202))</f>
        <v>1.7947605263161677</v>
      </c>
      <c r="AW202">
        <f t="shared" si="8"/>
        <v>81.838732642171749</v>
      </c>
      <c r="BB202">
        <v>1192</v>
      </c>
      <c r="BC202">
        <v>1096</v>
      </c>
      <c r="BD202">
        <v>521</v>
      </c>
      <c r="BE202">
        <v>1193.31</v>
      </c>
      <c r="BF202">
        <v>1096.9407000000001</v>
      </c>
      <c r="BG202">
        <v>521.15009999999995</v>
      </c>
    </row>
    <row r="203" spans="1:59" x14ac:dyDescent="0.3">
      <c r="AI203">
        <v>1187</v>
      </c>
      <c r="AJ203">
        <v>1098</v>
      </c>
      <c r="AK203">
        <v>555</v>
      </c>
      <c r="AL203">
        <v>1192.5953</v>
      </c>
      <c r="AM203">
        <v>1097.7036000000001</v>
      </c>
      <c r="AN203">
        <v>546.03049999999996</v>
      </c>
      <c r="AO203">
        <f t="shared" si="7"/>
        <v>6</v>
      </c>
      <c r="AU203" cm="1">
        <f t="array" ref="AU203">IF($AO203="","", $AL203 - INDEX($AS$2:$AS$11,$AO203))</f>
        <v>46.822992105263438</v>
      </c>
      <c r="AV203" cm="1">
        <f t="array" ref="AV203">IF($AO203="","", $AM203 - INDEX($AT$2:$AT$11,$AO203))</f>
        <v>1.3266605263161182</v>
      </c>
      <c r="AW203">
        <f t="shared" si="8"/>
        <v>62.11821535006424</v>
      </c>
      <c r="BB203">
        <v>1194</v>
      </c>
      <c r="BC203">
        <v>1095</v>
      </c>
      <c r="BD203">
        <v>474</v>
      </c>
      <c r="BE203">
        <v>1193.4458999999999</v>
      </c>
      <c r="BF203">
        <v>1096.4228000000001</v>
      </c>
      <c r="BG203">
        <v>481.42950000000002</v>
      </c>
    </row>
    <row r="204" spans="1:59" x14ac:dyDescent="0.3">
      <c r="AI204">
        <v>1191</v>
      </c>
      <c r="AJ204">
        <v>1098</v>
      </c>
      <c r="AK204">
        <v>506</v>
      </c>
      <c r="AL204">
        <v>1192.4948999999999</v>
      </c>
      <c r="AM204">
        <v>1097.1847</v>
      </c>
      <c r="AN204">
        <v>510.65789999999998</v>
      </c>
      <c r="AO204">
        <f t="shared" si="7"/>
        <v>6</v>
      </c>
      <c r="AU204" cm="1">
        <f t="array" ref="AU204">IF($AO204="","", $AL204 - INDEX($AS$2:$AS$11,$AO204))</f>
        <v>46.722592105263402</v>
      </c>
      <c r="AV204" cm="1">
        <f t="array" ref="AV204">IF($AO204="","", $AM204 - INDEX($AT$2:$AT$11,$AO204))</f>
        <v>0.80776052631608763</v>
      </c>
      <c r="AW204">
        <f t="shared" si="8"/>
        <v>37.740665589799448</v>
      </c>
      <c r="BB204">
        <v>1193</v>
      </c>
      <c r="BC204">
        <v>1095</v>
      </c>
      <c r="BD204">
        <v>449</v>
      </c>
      <c r="BE204">
        <v>1192.2053000000001</v>
      </c>
      <c r="BF204">
        <v>1095.8794</v>
      </c>
      <c r="BG204">
        <v>459.14350000000002</v>
      </c>
    </row>
    <row r="205" spans="1:59" x14ac:dyDescent="0.3">
      <c r="AI205">
        <v>1191</v>
      </c>
      <c r="AJ205">
        <v>1095</v>
      </c>
      <c r="AK205">
        <v>481</v>
      </c>
      <c r="AL205">
        <v>1191.075</v>
      </c>
      <c r="AM205">
        <v>1096.6310000000001</v>
      </c>
      <c r="AN205">
        <v>491.8254</v>
      </c>
      <c r="AO205">
        <f t="shared" si="7"/>
        <v>6</v>
      </c>
      <c r="AU205" cm="1">
        <f t="array" ref="AU205">IF($AO205="","", $AL205 - INDEX($AS$2:$AS$11,$AO205))</f>
        <v>45.302692105263532</v>
      </c>
      <c r="AV205" cm="1">
        <f t="array" ref="AV205">IF($AO205="","", $AM205 - INDEX($AT$2:$AT$11,$AO205))</f>
        <v>0.25406052631615239</v>
      </c>
      <c r="AW205">
        <f t="shared" si="8"/>
        <v>11.509625799801855</v>
      </c>
      <c r="BB205">
        <v>1189</v>
      </c>
      <c r="BC205">
        <v>1095</v>
      </c>
      <c r="BD205">
        <v>443</v>
      </c>
      <c r="BE205">
        <v>1189.6242</v>
      </c>
      <c r="BF205">
        <v>1095.3262</v>
      </c>
      <c r="BG205">
        <v>454.91629999999998</v>
      </c>
    </row>
    <row r="206" spans="1:59" x14ac:dyDescent="0.3">
      <c r="AI206">
        <v>1190</v>
      </c>
      <c r="AJ206">
        <v>1094</v>
      </c>
      <c r="AK206">
        <v>476</v>
      </c>
      <c r="AL206">
        <v>1188.3776</v>
      </c>
      <c r="AM206">
        <v>1096.0595000000001</v>
      </c>
      <c r="AN206">
        <v>490.05329999999998</v>
      </c>
      <c r="AO206">
        <f t="shared" si="7"/>
        <v>6</v>
      </c>
      <c r="AU206" cm="1">
        <f t="array" ref="AU206">IF($AO206="","", $AL206 - INDEX($AS$2:$AS$11,$AO206))</f>
        <v>42.605292105263516</v>
      </c>
      <c r="AV206" cm="1">
        <f t="array" ref="AV206">IF($AO206="","", $AM206 - INDEX($AT$2:$AT$11,$AO206))</f>
        <v>-0.31743947368386216</v>
      </c>
      <c r="AW206">
        <f t="shared" si="8"/>
        <v>-13.524601502042058</v>
      </c>
      <c r="BB206">
        <v>1186</v>
      </c>
      <c r="BC206">
        <v>1095</v>
      </c>
      <c r="BD206">
        <v>459</v>
      </c>
      <c r="BE206">
        <v>1185.7769000000001</v>
      </c>
      <c r="BF206">
        <v>1094.779</v>
      </c>
      <c r="BG206">
        <v>468.85700000000003</v>
      </c>
    </row>
    <row r="207" spans="1:59" x14ac:dyDescent="0.3">
      <c r="AI207">
        <v>1184</v>
      </c>
      <c r="AJ207">
        <v>1094</v>
      </c>
      <c r="AK207">
        <v>490</v>
      </c>
      <c r="AL207">
        <v>1184.4807000000001</v>
      </c>
      <c r="AM207">
        <v>1095.4878000000001</v>
      </c>
      <c r="AN207">
        <v>505.38319999999999</v>
      </c>
      <c r="AO207">
        <f t="shared" si="7"/>
        <v>6</v>
      </c>
      <c r="AU207" cm="1">
        <f t="array" ref="AU207">IF($AO207="","", $AL207 - INDEX($AS$2:$AS$11,$AO207))</f>
        <v>38.708392105263556</v>
      </c>
      <c r="AV207" cm="1">
        <f t="array" ref="AV207">IF($AO207="","", $AM207 - INDEX($AT$2:$AT$11,$AO207))</f>
        <v>-0.88913947368382651</v>
      </c>
      <c r="AW207">
        <f t="shared" si="8"/>
        <v>-34.417159383621225</v>
      </c>
      <c r="BB207">
        <v>1178</v>
      </c>
      <c r="BC207">
        <v>1093</v>
      </c>
      <c r="BD207">
        <v>490</v>
      </c>
      <c r="BE207">
        <v>1180.7737999999999</v>
      </c>
      <c r="BF207">
        <v>1094.2537</v>
      </c>
      <c r="BG207">
        <v>500.55709999999999</v>
      </c>
    </row>
    <row r="208" spans="1:59" x14ac:dyDescent="0.3">
      <c r="AI208">
        <v>1179</v>
      </c>
      <c r="AJ208">
        <v>1096</v>
      </c>
      <c r="AK208">
        <v>528</v>
      </c>
      <c r="AL208">
        <v>1179.4960000000001</v>
      </c>
      <c r="AM208">
        <v>1094.9336000000001</v>
      </c>
      <c r="AN208">
        <v>537.37609999999995</v>
      </c>
      <c r="AO208">
        <f t="shared" si="7"/>
        <v>6</v>
      </c>
      <c r="AU208" cm="1">
        <f t="array" ref="AU208">IF($AO208="","", $AL208 - INDEX($AS$2:$AS$11,$AO208))</f>
        <v>33.723692105263581</v>
      </c>
      <c r="AV208" cm="1">
        <f t="array" ref="AV208">IF($AO208="","", $AM208 - INDEX($AT$2:$AT$11,$AO208))</f>
        <v>-1.4433394736838636</v>
      </c>
      <c r="AW208">
        <f t="shared" si="8"/>
        <v>-48.674736013887802</v>
      </c>
      <c r="BB208">
        <v>1174</v>
      </c>
      <c r="BC208">
        <v>1093</v>
      </c>
      <c r="BD208">
        <v>537</v>
      </c>
      <c r="BE208">
        <v>1174.7583</v>
      </c>
      <c r="BF208">
        <v>1093.7651000000001</v>
      </c>
      <c r="BG208">
        <v>549.10170000000005</v>
      </c>
    </row>
    <row r="209" spans="35:59" x14ac:dyDescent="0.3">
      <c r="AI209">
        <v>1177</v>
      </c>
      <c r="AJ209">
        <v>1094</v>
      </c>
      <c r="AK209">
        <v>571</v>
      </c>
      <c r="AL209">
        <v>1173.5658000000001</v>
      </c>
      <c r="AM209">
        <v>1094.4142999999999</v>
      </c>
      <c r="AN209">
        <v>585.12469999999996</v>
      </c>
      <c r="AO209">
        <f t="shared" si="7"/>
        <v>6</v>
      </c>
      <c r="AU209" cm="1">
        <f t="array" ref="AU209">IF($AO209="","", $AL209 - INDEX($AS$2:$AS$11,$AO209))</f>
        <v>27.793492105263567</v>
      </c>
      <c r="AV209" cm="1">
        <f t="array" ref="AV209">IF($AO209="","", $AM209 - INDEX($AT$2:$AT$11,$AO209))</f>
        <v>-1.9626394736840211</v>
      </c>
      <c r="AW209">
        <f t="shared" si="8"/>
        <v>-54.548604717315484</v>
      </c>
      <c r="BB209">
        <v>1168</v>
      </c>
      <c r="BC209">
        <v>1092</v>
      </c>
      <c r="BD209">
        <v>593</v>
      </c>
      <c r="BE209">
        <v>1167.9028000000001</v>
      </c>
      <c r="BF209">
        <v>1093.3272999999999</v>
      </c>
      <c r="BG209">
        <v>613.09659999999997</v>
      </c>
    </row>
    <row r="210" spans="35:59" x14ac:dyDescent="0.3">
      <c r="AI210">
        <v>1170</v>
      </c>
      <c r="AJ210">
        <v>1095</v>
      </c>
      <c r="AK210">
        <v>630</v>
      </c>
      <c r="AL210">
        <v>1166.8588999999999</v>
      </c>
      <c r="AM210">
        <v>1093.9463000000001</v>
      </c>
      <c r="AN210">
        <v>647.27869999999996</v>
      </c>
      <c r="AO210">
        <f t="shared" si="7"/>
        <v>6</v>
      </c>
      <c r="AU210" cm="1">
        <f t="array" ref="AU210">IF($AO210="","", $AL210 - INDEX($AS$2:$AS$11,$AO210))</f>
        <v>21.086592105263435</v>
      </c>
      <c r="AV210" cm="1">
        <f t="array" ref="AV210">IF($AO210="","", $AM210 - INDEX($AT$2:$AT$11,$AO210))</f>
        <v>-2.4306394736838683</v>
      </c>
      <c r="AW210">
        <f t="shared" si="8"/>
        <v>-51.253903136523931</v>
      </c>
      <c r="BB210">
        <v>1164</v>
      </c>
      <c r="BC210">
        <v>1093</v>
      </c>
      <c r="BD210">
        <v>666</v>
      </c>
      <c r="BE210">
        <v>1160.4036000000001</v>
      </c>
      <c r="BF210">
        <v>1092.9528</v>
      </c>
      <c r="BG210">
        <v>690.70730000000003</v>
      </c>
    </row>
    <row r="211" spans="35:59" x14ac:dyDescent="0.3">
      <c r="AI211">
        <v>1162</v>
      </c>
      <c r="AJ211">
        <v>1094</v>
      </c>
      <c r="AK211">
        <v>693</v>
      </c>
      <c r="AL211">
        <v>1159.5662</v>
      </c>
      <c r="AM211">
        <v>1093.5445999999999</v>
      </c>
      <c r="AN211">
        <v>722.08209999999997</v>
      </c>
      <c r="AO211">
        <f t="shared" si="7"/>
        <v>6</v>
      </c>
      <c r="AU211" cm="1">
        <f t="array" ref="AU211">IF($AO211="","", $AL211 - INDEX($AS$2:$AS$11,$AO211))</f>
        <v>13.793892105263467</v>
      </c>
      <c r="AV211" cm="1">
        <f t="array" ref="AV211">IF($AO211="","", $AM211 - INDEX($AT$2:$AT$11,$AO211))</f>
        <v>-2.8323394736839873</v>
      </c>
      <c r="AW211">
        <f t="shared" si="8"/>
        <v>-39.068985105475633</v>
      </c>
      <c r="BB211">
        <v>1154</v>
      </c>
      <c r="BC211">
        <v>1091</v>
      </c>
      <c r="BD211">
        <v>747</v>
      </c>
      <c r="BE211">
        <v>1152.4755</v>
      </c>
      <c r="BF211">
        <v>1092.6521</v>
      </c>
      <c r="BG211">
        <v>779.71199999999999</v>
      </c>
    </row>
    <row r="212" spans="35:59" x14ac:dyDescent="0.3">
      <c r="AI212">
        <v>1154</v>
      </c>
      <c r="AJ212">
        <v>1092</v>
      </c>
      <c r="AK212">
        <v>771</v>
      </c>
      <c r="AL212">
        <v>1151.8947000000001</v>
      </c>
      <c r="AM212">
        <v>1093.2224000000001</v>
      </c>
      <c r="AN212">
        <v>807.42269999999996</v>
      </c>
      <c r="AO212">
        <f t="shared" si="7"/>
        <v>6</v>
      </c>
      <c r="AU212" cm="1">
        <f t="array" ref="AU212">IF($AO212="","", $AL212 - INDEX($AS$2:$AS$11,$AO212))</f>
        <v>6.1223921052635433</v>
      </c>
      <c r="AV212" cm="1">
        <f t="array" ref="AV212">IF($AO212="","", $AM212 - INDEX($AT$2:$AT$11,$AO212))</f>
        <v>-3.1545394736838261</v>
      </c>
      <c r="AW212">
        <f t="shared" si="8"/>
        <v>-19.313327569424072</v>
      </c>
      <c r="BB212">
        <v>1146</v>
      </c>
      <c r="BC212">
        <v>1092</v>
      </c>
      <c r="BD212">
        <v>839</v>
      </c>
      <c r="BE212">
        <v>1144.3452</v>
      </c>
      <c r="BF212">
        <v>1092.4338</v>
      </c>
      <c r="BG212">
        <v>877.56460000000004</v>
      </c>
    </row>
    <row r="213" spans="35:59" x14ac:dyDescent="0.3">
      <c r="AI213">
        <v>1144</v>
      </c>
      <c r="AJ213">
        <v>1094</v>
      </c>
      <c r="AK213">
        <v>857</v>
      </c>
      <c r="AL213">
        <v>1144.0622000000001</v>
      </c>
      <c r="AM213">
        <v>1092.9907000000001</v>
      </c>
      <c r="AN213">
        <v>900.89080000000001</v>
      </c>
      <c r="AO213">
        <f t="shared" si="7"/>
        <v>6</v>
      </c>
      <c r="AU213" cm="1">
        <f t="array" ref="AU213">IF($AO213="","", $AL213 - INDEX($AS$2:$AS$11,$AO213))</f>
        <v>-1.7101078947364385</v>
      </c>
      <c r="AV213" cm="1">
        <f t="array" ref="AV213">IF($AO213="","", $AM213 - INDEX($AT$2:$AT$11,$AO213))</f>
        <v>-3.3862394736838723</v>
      </c>
      <c r="AW213">
        <f t="shared" si="8"/>
        <v>5.7908348574149526</v>
      </c>
      <c r="BB213">
        <v>1140</v>
      </c>
      <c r="BC213">
        <v>1090</v>
      </c>
      <c r="BD213">
        <v>941</v>
      </c>
      <c r="BE213">
        <v>1136.2454</v>
      </c>
      <c r="BF213">
        <v>1092.3037999999999</v>
      </c>
      <c r="BG213">
        <v>981.46810000000005</v>
      </c>
    </row>
    <row r="214" spans="35:59" x14ac:dyDescent="0.3">
      <c r="AI214">
        <v>1138</v>
      </c>
      <c r="AJ214">
        <v>1091</v>
      </c>
      <c r="AK214">
        <v>952</v>
      </c>
      <c r="AL214">
        <v>1136.2911999999999</v>
      </c>
      <c r="AM214">
        <v>1092.8578</v>
      </c>
      <c r="AN214">
        <v>999.84680000000003</v>
      </c>
      <c r="AO214">
        <f t="shared" si="7"/>
        <v>6</v>
      </c>
      <c r="AU214" cm="1">
        <f t="array" ref="AU214">IF($AO214="","", $AL214 - INDEX($AS$2:$AS$11,$AO214))</f>
        <v>-9.4811078947366241</v>
      </c>
      <c r="AV214" cm="1">
        <f t="array" ref="AV214">IF($AO214="","", $AM214 - INDEX($AT$2:$AT$11,$AO214))</f>
        <v>-3.5191394736839356</v>
      </c>
      <c r="AW214">
        <f t="shared" si="8"/>
        <v>33.365341046624053</v>
      </c>
      <c r="BB214">
        <v>1132</v>
      </c>
      <c r="BC214">
        <v>1092</v>
      </c>
      <c r="BD214">
        <v>1040</v>
      </c>
      <c r="BE214">
        <v>1128.4078</v>
      </c>
      <c r="BF214">
        <v>1092.2657999999999</v>
      </c>
      <c r="BG214">
        <v>1088.4535000000001</v>
      </c>
    </row>
    <row r="215" spans="35:59" x14ac:dyDescent="0.3">
      <c r="AI215">
        <v>1131</v>
      </c>
      <c r="AJ215">
        <v>1091</v>
      </c>
      <c r="AK215">
        <v>1051</v>
      </c>
      <c r="AL215">
        <v>1128.8023000000001</v>
      </c>
      <c r="AM215">
        <v>1092.8291999999999</v>
      </c>
      <c r="AN215">
        <v>1101.4953</v>
      </c>
      <c r="AO215">
        <f t="shared" si="7"/>
        <v>6</v>
      </c>
      <c r="AU215" cm="1">
        <f t="array" ref="AU215">IF($AO215="","", $AL215 - INDEX($AS$2:$AS$11,$AO215))</f>
        <v>-16.970007894736455</v>
      </c>
      <c r="AV215" cm="1">
        <f t="array" ref="AV215">IF($AO215="","", $AM215 - INDEX($AT$2:$AT$11,$AO215))</f>
        <v>-3.5477394736840324</v>
      </c>
      <c r="AW215">
        <f t="shared" si="8"/>
        <v>60.205166876886182</v>
      </c>
      <c r="BB215">
        <v>1113</v>
      </c>
      <c r="BC215">
        <v>1090</v>
      </c>
      <c r="BD215">
        <v>1200</v>
      </c>
      <c r="BE215">
        <v>1121.0564999999999</v>
      </c>
      <c r="BF215">
        <v>1092.3205</v>
      </c>
      <c r="BG215">
        <v>1195.4653000000001</v>
      </c>
    </row>
    <row r="216" spans="35:59" x14ac:dyDescent="0.3">
      <c r="AI216">
        <v>1127</v>
      </c>
      <c r="AJ216">
        <v>1091</v>
      </c>
      <c r="AK216">
        <v>1146</v>
      </c>
      <c r="AL216">
        <v>1121.8079</v>
      </c>
      <c r="AM216">
        <v>1092.9077</v>
      </c>
      <c r="AN216">
        <v>1202.9636</v>
      </c>
      <c r="AO216">
        <f t="shared" si="7"/>
        <v>6</v>
      </c>
      <c r="AU216" cm="1">
        <f t="array" ref="AU216">IF($AO216="","", $AL216 - INDEX($AS$2:$AS$11,$AO216))</f>
        <v>-23.964407894736496</v>
      </c>
      <c r="AV216" cm="1">
        <f t="array" ref="AV216">IF($AO216="","", $AM216 - INDEX($AT$2:$AT$11,$AO216))</f>
        <v>-3.469239473683956</v>
      </c>
      <c r="AW216">
        <f t="shared" si="8"/>
        <v>83.138269831883278</v>
      </c>
      <c r="BB216">
        <v>1106</v>
      </c>
      <c r="BC216">
        <v>1093</v>
      </c>
      <c r="BD216">
        <v>1343</v>
      </c>
      <c r="BE216">
        <v>1114.4014</v>
      </c>
      <c r="BF216">
        <v>1092.4661000000001</v>
      </c>
      <c r="BG216">
        <v>1299.4483</v>
      </c>
    </row>
    <row r="217" spans="35:59" x14ac:dyDescent="0.3">
      <c r="AI217">
        <v>1111</v>
      </c>
      <c r="AJ217">
        <v>1093</v>
      </c>
      <c r="AK217">
        <v>1341</v>
      </c>
      <c r="AL217">
        <v>1115.5069000000001</v>
      </c>
      <c r="AM217">
        <v>1093.0925</v>
      </c>
      <c r="AN217">
        <v>1301.3822</v>
      </c>
      <c r="AO217">
        <f t="shared" si="7"/>
        <v>6</v>
      </c>
      <c r="AU217" cm="1">
        <f t="array" ref="AU217">IF($AO217="","", $AL217 - INDEX($AS$2:$AS$11,$AO217))</f>
        <v>-30.265407894736427</v>
      </c>
      <c r="AV217" cm="1">
        <f t="array" ref="AV217">IF($AO217="","", $AM217 - INDEX($AT$2:$AT$11,$AO217))</f>
        <v>-3.2844394736839604</v>
      </c>
      <c r="AW217">
        <f t="shared" si="8"/>
        <v>99.404900376618485</v>
      </c>
      <c r="BB217">
        <v>1104</v>
      </c>
      <c r="BC217">
        <v>1092</v>
      </c>
      <c r="BD217">
        <v>1432</v>
      </c>
      <c r="BE217">
        <v>1108.6329000000001</v>
      </c>
      <c r="BF217">
        <v>1092.6981000000001</v>
      </c>
      <c r="BG217">
        <v>1397.4348</v>
      </c>
    </row>
    <row r="218" spans="35:59" x14ac:dyDescent="0.3">
      <c r="AI218">
        <v>1107</v>
      </c>
      <c r="AJ218">
        <v>1091</v>
      </c>
      <c r="AK218">
        <v>1427</v>
      </c>
      <c r="AL218">
        <v>1110.0780999999999</v>
      </c>
      <c r="AM218">
        <v>1093.3800000000001</v>
      </c>
      <c r="AN218">
        <v>1393.9658999999999</v>
      </c>
      <c r="AO218">
        <f t="shared" si="7"/>
        <v>6</v>
      </c>
      <c r="AU218" cm="1">
        <f t="array" ref="AU218">IF($AO218="","", $AL218 - INDEX($AS$2:$AS$11,$AO218))</f>
        <v>-35.694207894736564</v>
      </c>
      <c r="AV218" cm="1">
        <f t="array" ref="AV218">IF($AO218="","", $AM218 - INDEX($AT$2:$AT$11,$AO218))</f>
        <v>-2.996939473683824</v>
      </c>
      <c r="AW218">
        <f t="shared" si="8"/>
        <v>106.97338062161279</v>
      </c>
      <c r="BB218">
        <v>1102</v>
      </c>
      <c r="BC218">
        <v>1092</v>
      </c>
      <c r="BD218">
        <v>1513</v>
      </c>
      <c r="BE218">
        <v>1103.9156</v>
      </c>
      <c r="BF218">
        <v>1093.0096000000001</v>
      </c>
      <c r="BG218">
        <v>1486.6292000000001</v>
      </c>
    </row>
    <row r="219" spans="35:59" x14ac:dyDescent="0.3">
      <c r="AI219">
        <v>1102</v>
      </c>
      <c r="AJ219">
        <v>1094</v>
      </c>
      <c r="AK219">
        <v>1503</v>
      </c>
      <c r="AL219">
        <v>1105.6760999999999</v>
      </c>
      <c r="AM219">
        <v>1093.7634</v>
      </c>
      <c r="AN219">
        <v>1478.0920000000001</v>
      </c>
      <c r="AO219">
        <f t="shared" si="7"/>
        <v>6</v>
      </c>
      <c r="AU219" cm="1">
        <f t="array" ref="AU219">IF($AO219="","", $AL219 - INDEX($AS$2:$AS$11,$AO219))</f>
        <v>-40.096207894736608</v>
      </c>
      <c r="AV219" cm="1">
        <f t="array" ref="AV219">IF($AO219="","", $AM219 - INDEX($AT$2:$AT$11,$AO219))</f>
        <v>-2.6135394736838862</v>
      </c>
      <c r="AW219">
        <f t="shared" si="8"/>
        <v>104.79302207792959</v>
      </c>
      <c r="BB219">
        <v>1102</v>
      </c>
      <c r="BC219">
        <v>1092</v>
      </c>
      <c r="BD219">
        <v>1596</v>
      </c>
      <c r="BE219">
        <v>1100.384</v>
      </c>
      <c r="BF219">
        <v>1093.3913</v>
      </c>
      <c r="BG219">
        <v>1564.4878000000001</v>
      </c>
    </row>
    <row r="220" spans="35:59" x14ac:dyDescent="0.3">
      <c r="AI220">
        <v>1099</v>
      </c>
      <c r="AJ220">
        <v>1094</v>
      </c>
      <c r="AK220">
        <v>1583</v>
      </c>
      <c r="AL220">
        <v>1102.4263000000001</v>
      </c>
      <c r="AM220">
        <v>1094.2330999999999</v>
      </c>
      <c r="AN220">
        <v>1551.3742999999999</v>
      </c>
      <c r="AO220">
        <f t="shared" si="7"/>
        <v>6</v>
      </c>
      <c r="AU220" cm="1">
        <f t="array" ref="AU220">IF($AO220="","", $AL220 - INDEX($AS$2:$AS$11,$AO220))</f>
        <v>-43.346007894736431</v>
      </c>
      <c r="AV220" cm="1">
        <f t="array" ref="AV220">IF($AO220="","", $AM220 - INDEX($AT$2:$AT$11,$AO220))</f>
        <v>-2.143839473684011</v>
      </c>
      <c r="AW220">
        <f t="shared" si="8"/>
        <v>92.926882751354739</v>
      </c>
      <c r="BB220">
        <v>1095</v>
      </c>
      <c r="BC220">
        <v>1093</v>
      </c>
      <c r="BD220">
        <v>1665</v>
      </c>
      <c r="BE220">
        <v>1098.1388999999999</v>
      </c>
      <c r="BF220">
        <v>1093.8318999999999</v>
      </c>
      <c r="BG220">
        <v>1628.7913000000001</v>
      </c>
    </row>
    <row r="221" spans="35:59" x14ac:dyDescent="0.3">
      <c r="AI221">
        <v>1098</v>
      </c>
      <c r="AJ221">
        <v>1094</v>
      </c>
      <c r="AK221">
        <v>1649</v>
      </c>
      <c r="AL221">
        <v>1100.4213</v>
      </c>
      <c r="AM221">
        <v>1094.777</v>
      </c>
      <c r="AN221">
        <v>1611.7309</v>
      </c>
      <c r="AO221">
        <f t="shared" si="7"/>
        <v>6</v>
      </c>
      <c r="AU221" cm="1">
        <f t="array" ref="AU221">IF($AO221="","", $AL221 - INDEX($AS$2:$AS$11,$AO221))</f>
        <v>-45.35100789473654</v>
      </c>
      <c r="AV221" cm="1">
        <f t="array" ref="AV221">IF($AO221="","", $AM221 - INDEX($AT$2:$AT$11,$AO221))</f>
        <v>-1.5999394736838894</v>
      </c>
      <c r="AW221">
        <f t="shared" si="8"/>
        <v>72.558867702138699</v>
      </c>
      <c r="BB221">
        <v>1095</v>
      </c>
      <c r="BC221">
        <v>1093</v>
      </c>
      <c r="BD221">
        <v>1711</v>
      </c>
      <c r="BE221">
        <v>1097.2438999999999</v>
      </c>
      <c r="BF221">
        <v>1094.3184000000001</v>
      </c>
      <c r="BG221">
        <v>1677.7082</v>
      </c>
    </row>
    <row r="222" spans="35:59" x14ac:dyDescent="0.3">
      <c r="AI222">
        <v>1092</v>
      </c>
      <c r="AJ222">
        <v>1094</v>
      </c>
      <c r="AK222">
        <v>1692</v>
      </c>
      <c r="AL222">
        <v>1099.7186999999999</v>
      </c>
      <c r="AM222">
        <v>1095.3804</v>
      </c>
      <c r="AN222">
        <v>1657.4429</v>
      </c>
      <c r="AO222">
        <f t="shared" si="7"/>
        <v>6</v>
      </c>
      <c r="AU222" cm="1">
        <f t="array" ref="AU222">IF($AO222="","", $AL222 - INDEX($AS$2:$AS$11,$AO222))</f>
        <v>-46.053607894736615</v>
      </c>
      <c r="AV222" cm="1">
        <f t="array" ref="AV222">IF($AO222="","", $AM222 - INDEX($AT$2:$AT$11,$AO222))</f>
        <v>-0.99653947368392437</v>
      </c>
      <c r="AW222">
        <f t="shared" si="8"/>
        <v>45.894238172666654</v>
      </c>
      <c r="BB222">
        <v>1099</v>
      </c>
      <c r="BC222">
        <v>1095</v>
      </c>
      <c r="BD222">
        <v>1739</v>
      </c>
      <c r="BE222">
        <v>1097.7242000000001</v>
      </c>
      <c r="BF222">
        <v>1094.8363999999999</v>
      </c>
      <c r="BG222">
        <v>1709.8467000000001</v>
      </c>
    </row>
    <row r="223" spans="35:59" x14ac:dyDescent="0.3">
      <c r="AI223">
        <v>1098</v>
      </c>
      <c r="AJ223">
        <v>1095</v>
      </c>
      <c r="AK223">
        <v>1721</v>
      </c>
      <c r="AL223">
        <v>1100.3391999999999</v>
      </c>
      <c r="AM223">
        <v>1096.0269000000001</v>
      </c>
      <c r="AN223">
        <v>1687.2030999999999</v>
      </c>
      <c r="AO223">
        <f t="shared" si="7"/>
        <v>6</v>
      </c>
      <c r="AU223" cm="1">
        <f t="array" ref="AU223">IF($AO223="","", $AL223 - INDEX($AS$2:$AS$11,$AO223))</f>
        <v>-45.433107894736622</v>
      </c>
      <c r="AV223" cm="1">
        <f t="array" ref="AV223">IF($AO223="","", $AM223 - INDEX($AT$2:$AT$11,$AO223))</f>
        <v>-0.35003947368386434</v>
      </c>
      <c r="AW223">
        <f t="shared" si="8"/>
        <v>15.903381175295829</v>
      </c>
      <c r="BB223">
        <v>1100</v>
      </c>
      <c r="BC223">
        <v>1096</v>
      </c>
      <c r="BD223">
        <v>1742</v>
      </c>
      <c r="BE223">
        <v>1099.5655999999999</v>
      </c>
      <c r="BF223">
        <v>1095.3707999999999</v>
      </c>
      <c r="BG223">
        <v>1724.2945</v>
      </c>
    </row>
    <row r="224" spans="35:59" x14ac:dyDescent="0.3">
      <c r="AI224">
        <v>1099</v>
      </c>
      <c r="AJ224">
        <v>1096</v>
      </c>
      <c r="AK224">
        <v>1723</v>
      </c>
      <c r="AL224">
        <v>1102.2661000000001</v>
      </c>
      <c r="AM224">
        <v>1096.6987999999999</v>
      </c>
      <c r="AN224">
        <v>1700.1537000000001</v>
      </c>
      <c r="AO224">
        <f t="shared" si="7"/>
        <v>6</v>
      </c>
      <c r="AU224" cm="1">
        <f t="array" ref="AU224">IF($AO224="","", $AL224 - INDEX($AS$2:$AS$11,$AO224))</f>
        <v>-43.506207894736463</v>
      </c>
      <c r="AV224" cm="1">
        <f t="array" ref="AV224">IF($AO224="","", $AM224 - INDEX($AT$2:$AT$11,$AO224))</f>
        <v>0.32186052631595885</v>
      </c>
      <c r="AW224">
        <f t="shared" si="8"/>
        <v>-14.002930971011402</v>
      </c>
      <c r="BB224">
        <v>1102</v>
      </c>
      <c r="BC224">
        <v>1095</v>
      </c>
      <c r="BD224">
        <v>1723</v>
      </c>
      <c r="BE224">
        <v>1102.7148</v>
      </c>
      <c r="BF224">
        <v>1095.9058</v>
      </c>
      <c r="BG224">
        <v>1720.6449</v>
      </c>
    </row>
    <row r="225" spans="35:59" x14ac:dyDescent="0.3">
      <c r="AI225">
        <v>1105</v>
      </c>
      <c r="AJ225">
        <v>1096</v>
      </c>
      <c r="AK225">
        <v>1707</v>
      </c>
      <c r="AL225">
        <v>1105.4454000000001</v>
      </c>
      <c r="AM225">
        <v>1097.3771999999999</v>
      </c>
      <c r="AN225">
        <v>1695.9106999999999</v>
      </c>
      <c r="AO225">
        <f t="shared" si="7"/>
        <v>6</v>
      </c>
      <c r="AU225" cm="1">
        <f t="array" ref="AU225">IF($AO225="","", $AL225 - INDEX($AS$2:$AS$11,$AO225))</f>
        <v>-40.326907894736451</v>
      </c>
      <c r="AV225" cm="1">
        <f t="array" ref="AV225">IF($AO225="","", $AM225 - INDEX($AT$2:$AT$11,$AO225))</f>
        <v>1.0002605263159694</v>
      </c>
      <c r="AW225">
        <f t="shared" si="8"/>
        <v>-40.337414115484705</v>
      </c>
      <c r="BB225">
        <v>1107</v>
      </c>
      <c r="BC225">
        <v>1096</v>
      </c>
      <c r="BD225">
        <v>1687</v>
      </c>
      <c r="BE225">
        <v>1107.0811000000001</v>
      </c>
      <c r="BF225">
        <v>1096.4255000000001</v>
      </c>
      <c r="BG225">
        <v>1699.008</v>
      </c>
    </row>
    <row r="226" spans="35:59" x14ac:dyDescent="0.3">
      <c r="AI226">
        <v>1106</v>
      </c>
      <c r="AJ226">
        <v>1096</v>
      </c>
      <c r="AK226">
        <v>1672</v>
      </c>
      <c r="AL226">
        <v>1109.7877000000001</v>
      </c>
      <c r="AM226">
        <v>1098.0429999999999</v>
      </c>
      <c r="AN226">
        <v>1674.5752</v>
      </c>
      <c r="AO226">
        <f t="shared" si="7"/>
        <v>6</v>
      </c>
      <c r="AU226" cm="1">
        <f t="array" ref="AU226">IF($AO226="","", $AL226 - INDEX($AS$2:$AS$11,$AO226))</f>
        <v>-35.984607894736428</v>
      </c>
      <c r="AV226" cm="1">
        <f t="array" ref="AV226">IF($AO226="","", $AM226 - INDEX($AT$2:$AT$11,$AO226))</f>
        <v>1.6660605263159596</v>
      </c>
      <c r="AW226">
        <f t="shared" si="8"/>
        <v>-59.952534768378008</v>
      </c>
      <c r="BB226">
        <v>1109</v>
      </c>
      <c r="BC226">
        <v>1097</v>
      </c>
      <c r="BD226">
        <v>1639</v>
      </c>
      <c r="BE226">
        <v>1112.539</v>
      </c>
      <c r="BF226">
        <v>1096.9147</v>
      </c>
      <c r="BG226">
        <v>1660.0077000000001</v>
      </c>
    </row>
    <row r="227" spans="35:59" x14ac:dyDescent="0.3">
      <c r="AI227">
        <v>1114</v>
      </c>
      <c r="AJ227">
        <v>1098</v>
      </c>
      <c r="AK227">
        <v>1627</v>
      </c>
      <c r="AL227">
        <v>1115.1705999999999</v>
      </c>
      <c r="AM227">
        <v>1098.6772000000001</v>
      </c>
      <c r="AN227">
        <v>1636.7312999999999</v>
      </c>
      <c r="AO227">
        <f t="shared" si="7"/>
        <v>6</v>
      </c>
      <c r="AU227" cm="1">
        <f t="array" ref="AU227">IF($AO227="","", $AL227 - INDEX($AS$2:$AS$11,$AO227))</f>
        <v>-30.601707894736592</v>
      </c>
      <c r="AV227" cm="1">
        <f t="array" ref="AV227">IF($AO227="","", $AM227 - INDEX($AT$2:$AT$11,$AO227))</f>
        <v>2.3002605263161513</v>
      </c>
      <c r="AW227">
        <f t="shared" si="8"/>
        <v>-70.39190070811992</v>
      </c>
      <c r="BB227">
        <v>1118</v>
      </c>
      <c r="BC227">
        <v>1095</v>
      </c>
      <c r="BD227">
        <v>1581</v>
      </c>
      <c r="BE227">
        <v>1118.9319</v>
      </c>
      <c r="BF227">
        <v>1097.3588999999999</v>
      </c>
      <c r="BG227">
        <v>1604.7638999999999</v>
      </c>
    </row>
    <row r="228" spans="35:59" x14ac:dyDescent="0.3">
      <c r="AI228">
        <v>1122</v>
      </c>
      <c r="AJ228">
        <v>1097</v>
      </c>
      <c r="AK228">
        <v>1568</v>
      </c>
      <c r="AL228">
        <v>1121.4422</v>
      </c>
      <c r="AM228">
        <v>1099.2614000000001</v>
      </c>
      <c r="AN228">
        <v>1583.4301</v>
      </c>
      <c r="AO228">
        <f t="shared" si="7"/>
        <v>6</v>
      </c>
      <c r="AU228" cm="1">
        <f t="array" ref="AU228">IF($AO228="","", $AL228 - INDEX($AS$2:$AS$11,$AO228))</f>
        <v>-24.330107894736557</v>
      </c>
      <c r="AV228" cm="1">
        <f t="array" ref="AV228">IF($AO228="","", $AM228 - INDEX($AT$2:$AT$11,$AO228))</f>
        <v>2.8844605263161611</v>
      </c>
      <c r="AW228">
        <f t="shared" si="8"/>
        <v>-70.179235823380793</v>
      </c>
      <c r="BB228">
        <v>1126</v>
      </c>
      <c r="BC228">
        <v>1097</v>
      </c>
      <c r="BD228">
        <v>1516</v>
      </c>
      <c r="BE228">
        <v>1126.0761</v>
      </c>
      <c r="BF228">
        <v>1097.7447999999999</v>
      </c>
      <c r="BG228">
        <v>1534.8602000000001</v>
      </c>
    </row>
    <row r="229" spans="35:59" x14ac:dyDescent="0.3">
      <c r="AI229">
        <v>1128</v>
      </c>
      <c r="AJ229">
        <v>1098</v>
      </c>
      <c r="AK229">
        <v>1504</v>
      </c>
      <c r="AL229">
        <v>1128.4249</v>
      </c>
      <c r="AM229">
        <v>1099.7786000000001</v>
      </c>
      <c r="AN229">
        <v>1516.1602</v>
      </c>
      <c r="AO229">
        <f t="shared" si="7"/>
        <v>6</v>
      </c>
      <c r="AU229" cm="1">
        <f t="array" ref="AU229">IF($AO229="","", $AL229 - INDEX($AS$2:$AS$11,$AO229))</f>
        <v>-17.347407894736534</v>
      </c>
      <c r="AV229" cm="1">
        <f t="array" ref="AV229">IF($AO229="","", $AM229 - INDEX($AT$2:$AT$11,$AO229))</f>
        <v>3.4016605263161637</v>
      </c>
      <c r="AW229">
        <f t="shared" si="8"/>
        <v>-59.009992669430652</v>
      </c>
      <c r="BB229">
        <v>1134</v>
      </c>
      <c r="BC229">
        <v>1096</v>
      </c>
      <c r="BD229">
        <v>1436</v>
      </c>
      <c r="BE229">
        <v>1133.7666999999999</v>
      </c>
      <c r="BF229">
        <v>1098.0608999999999</v>
      </c>
      <c r="BG229">
        <v>1452.2988</v>
      </c>
    </row>
    <row r="230" spans="35:59" x14ac:dyDescent="0.3">
      <c r="AI230">
        <v>1134</v>
      </c>
      <c r="AJ230">
        <v>1098</v>
      </c>
      <c r="AK230">
        <v>1432</v>
      </c>
      <c r="AL230">
        <v>1135.9213</v>
      </c>
      <c r="AM230">
        <v>1100.2135000000001</v>
      </c>
      <c r="AN230">
        <v>1436.8064999999999</v>
      </c>
      <c r="AO230">
        <f t="shared" si="7"/>
        <v>7</v>
      </c>
      <c r="AU230" cm="1">
        <f t="array" ref="AU230">IF($AO230="","", $AL230 - INDEX($AS$2:$AS$11,$AO230))</f>
        <v>-9.97178684210553</v>
      </c>
      <c r="AV230" cm="1">
        <f t="array" ref="AV230">IF($AO230="","", $AM230 - INDEX($AT$2:$AT$11,$AO230))</f>
        <v>4.0533000000000357</v>
      </c>
      <c r="AW230">
        <f t="shared" si="8"/>
        <v>-40.418643607106702</v>
      </c>
      <c r="BB230">
        <v>1142</v>
      </c>
      <c r="BC230">
        <v>1097</v>
      </c>
      <c r="BD230">
        <v>1349</v>
      </c>
      <c r="BE230">
        <v>1141.7831000000001</v>
      </c>
      <c r="BF230">
        <v>1098.2973999999999</v>
      </c>
      <c r="BG230">
        <v>1359.4431</v>
      </c>
    </row>
    <row r="231" spans="35:59" x14ac:dyDescent="0.3">
      <c r="AI231">
        <v>1144</v>
      </c>
      <c r="AJ231">
        <v>1099</v>
      </c>
      <c r="AK231">
        <v>1346</v>
      </c>
      <c r="AL231">
        <v>1143.7189000000001</v>
      </c>
      <c r="AM231">
        <v>1100.5528999999999</v>
      </c>
      <c r="AN231">
        <v>1347.5972999999999</v>
      </c>
      <c r="AO231">
        <f t="shared" si="7"/>
        <v>7</v>
      </c>
      <c r="AU231" cm="1">
        <f t="array" ref="AU231">IF($AO231="","", $AL231 - INDEX($AS$2:$AS$11,$AO231))</f>
        <v>-2.1741868421054278</v>
      </c>
      <c r="AV231" cm="1">
        <f t="array" ref="AV231">IF($AO231="","", $AM231 - INDEX($AT$2:$AT$11,$AO231))</f>
        <v>4.392699999999877</v>
      </c>
      <c r="AW231">
        <f t="shared" si="8"/>
        <v>-9.5505505413162446</v>
      </c>
      <c r="BB231">
        <v>1149</v>
      </c>
      <c r="BC231">
        <v>1098</v>
      </c>
      <c r="BD231">
        <v>1251</v>
      </c>
      <c r="BE231">
        <v>1149.8951999999999</v>
      </c>
      <c r="BF231">
        <v>1098.4472000000001</v>
      </c>
      <c r="BG231">
        <v>1258.9503</v>
      </c>
    </row>
    <row r="232" spans="35:59" x14ac:dyDescent="0.3">
      <c r="AI232">
        <v>1148</v>
      </c>
      <c r="AJ232">
        <v>1098</v>
      </c>
      <c r="AK232">
        <v>1249</v>
      </c>
      <c r="AL232">
        <v>1151.5967000000001</v>
      </c>
      <c r="AM232">
        <v>1100.7862</v>
      </c>
      <c r="AN232">
        <v>1251.0413000000001</v>
      </c>
      <c r="AO232">
        <f t="shared" si="7"/>
        <v>7</v>
      </c>
      <c r="AU232" cm="1">
        <f t="array" ref="AU232">IF($AO232="","", $AL232 - INDEX($AS$2:$AS$11,$AO232))</f>
        <v>5.7036131578945515</v>
      </c>
      <c r="AV232" cm="1">
        <f t="array" ref="AV232">IF($AO232="","", $AM232 - INDEX($AT$2:$AT$11,$AO232))</f>
        <v>4.6259999999999764</v>
      </c>
      <c r="AW232">
        <f t="shared" si="8"/>
        <v>26.38491446842006</v>
      </c>
      <c r="BB232">
        <v>1159</v>
      </c>
      <c r="BC232">
        <v>1099</v>
      </c>
      <c r="BD232">
        <v>1155</v>
      </c>
      <c r="BE232">
        <v>1157.8703</v>
      </c>
      <c r="BF232">
        <v>1098.5051000000001</v>
      </c>
      <c r="BG232">
        <v>1153.6956</v>
      </c>
    </row>
    <row r="233" spans="35:59" x14ac:dyDescent="0.3">
      <c r="AI233">
        <v>1159</v>
      </c>
      <c r="AJ233">
        <v>1098</v>
      </c>
      <c r="AK233">
        <v>1152</v>
      </c>
      <c r="AL233">
        <v>1159.3311000000001</v>
      </c>
      <c r="AM233">
        <v>1100.9058</v>
      </c>
      <c r="AN233">
        <v>1149.8575000000001</v>
      </c>
      <c r="AO233">
        <f t="shared" si="7"/>
        <v>7</v>
      </c>
      <c r="AU233" cm="1">
        <f t="array" ref="AU233">IF($AO233="","", $AL233 - INDEX($AS$2:$AS$11,$AO233))</f>
        <v>13.438013157894602</v>
      </c>
      <c r="AV233" cm="1">
        <f t="array" ref="AV233">IF($AO233="","", $AM233 - INDEX($AT$2:$AT$11,$AO233))</f>
        <v>4.7455999999999676</v>
      </c>
      <c r="AW233">
        <f t="shared" si="8"/>
        <v>63.771435242104189</v>
      </c>
      <c r="BB233">
        <v>1165</v>
      </c>
      <c r="BC233">
        <v>1101</v>
      </c>
      <c r="BD233">
        <v>1057</v>
      </c>
      <c r="BE233">
        <v>1165.4797000000001</v>
      </c>
      <c r="BF233">
        <v>1098.4690000000001</v>
      </c>
      <c r="BG233">
        <v>1046.6898000000001</v>
      </c>
    </row>
    <row r="234" spans="35:59" x14ac:dyDescent="0.3">
      <c r="AI234">
        <v>1166</v>
      </c>
      <c r="AJ234">
        <v>1099</v>
      </c>
      <c r="AK234">
        <v>1051</v>
      </c>
      <c r="AL234">
        <v>1166.7026000000001</v>
      </c>
      <c r="AM234">
        <v>1100.9072000000001</v>
      </c>
      <c r="AN234">
        <v>1046.8979999999999</v>
      </c>
      <c r="AO234">
        <f t="shared" si="7"/>
        <v>7</v>
      </c>
      <c r="AU234" cm="1">
        <f t="array" ref="AU234">IF($AO234="","", $AL234 - INDEX($AS$2:$AS$11,$AO234))</f>
        <v>20.809513157894571</v>
      </c>
      <c r="AV234" cm="1">
        <f t="array" ref="AV234">IF($AO234="","", $AM234 - INDEX($AT$2:$AT$11,$AO234))</f>
        <v>4.7470000000000709</v>
      </c>
      <c r="AW234">
        <f t="shared" si="8"/>
        <v>98.782758960527005</v>
      </c>
      <c r="BB234">
        <v>1168</v>
      </c>
      <c r="BC234">
        <v>1094</v>
      </c>
      <c r="BD234">
        <v>967</v>
      </c>
      <c r="BE234">
        <v>1172.5050000000001</v>
      </c>
      <c r="BF234">
        <v>1098.3391999999999</v>
      </c>
      <c r="BG234">
        <v>940.9932</v>
      </c>
    </row>
    <row r="235" spans="35:59" x14ac:dyDescent="0.3">
      <c r="AI235">
        <v>1184</v>
      </c>
      <c r="AJ235">
        <v>1122</v>
      </c>
      <c r="AK235">
        <v>975</v>
      </c>
      <c r="AL235">
        <v>1173.5017</v>
      </c>
      <c r="AM235">
        <v>1100.789</v>
      </c>
      <c r="AN235">
        <v>945.06780000000003</v>
      </c>
      <c r="AO235">
        <f t="shared" si="7"/>
        <v>7</v>
      </c>
      <c r="AU235" cm="1">
        <f t="array" ref="AU235">IF($AO235="","", $AL235 - INDEX($AS$2:$AS$11,$AO235))</f>
        <v>27.608613157894524</v>
      </c>
      <c r="AV235" cm="1">
        <f t="array" ref="AV235">IF($AO235="","", $AM235 - INDEX($AT$2:$AT$11,$AO235))</f>
        <v>4.6287999999999556</v>
      </c>
      <c r="AW235">
        <f t="shared" si="8"/>
        <v>127.79474858526095</v>
      </c>
      <c r="BB235">
        <v>1178</v>
      </c>
      <c r="BC235">
        <v>1098</v>
      </c>
      <c r="BD235">
        <v>850</v>
      </c>
      <c r="BE235">
        <v>1178.7446</v>
      </c>
      <c r="BF235">
        <v>1098.1186</v>
      </c>
      <c r="BG235">
        <v>839.62869999999998</v>
      </c>
    </row>
    <row r="236" spans="35:59" x14ac:dyDescent="0.3">
      <c r="AI236">
        <v>1178</v>
      </c>
      <c r="AJ236">
        <v>1099</v>
      </c>
      <c r="AK236">
        <v>844</v>
      </c>
      <c r="AL236">
        <v>1179.5347999999999</v>
      </c>
      <c r="AM236">
        <v>1100.5535</v>
      </c>
      <c r="AN236">
        <v>847.2423</v>
      </c>
      <c r="AO236">
        <f t="shared" si="7"/>
        <v>7</v>
      </c>
      <c r="AU236" cm="1">
        <f t="array" ref="AU236">IF($AO236="","", $AL236 - INDEX($AS$2:$AS$11,$AO236))</f>
        <v>33.641713157894401</v>
      </c>
      <c r="AV236" cm="1">
        <f t="array" ref="AV236">IF($AO236="","", $AM236 - INDEX($AT$2:$AT$11,$AO236))</f>
        <v>4.3932999999999538</v>
      </c>
      <c r="AW236">
        <f t="shared" si="8"/>
        <v>147.79813841657591</v>
      </c>
      <c r="BB236">
        <v>1181</v>
      </c>
      <c r="BC236">
        <v>1097</v>
      </c>
      <c r="BD236">
        <v>765</v>
      </c>
      <c r="BE236">
        <v>1184.0192999999999</v>
      </c>
      <c r="BF236">
        <v>1097.8127999999999</v>
      </c>
      <c r="BG236">
        <v>745.49480000000005</v>
      </c>
    </row>
    <row r="237" spans="35:59" x14ac:dyDescent="0.3">
      <c r="AI237">
        <v>1182</v>
      </c>
      <c r="AJ237">
        <v>1098</v>
      </c>
      <c r="AK237">
        <v>771</v>
      </c>
      <c r="AL237">
        <v>1184.6303</v>
      </c>
      <c r="AM237">
        <v>1100.2058999999999</v>
      </c>
      <c r="AN237">
        <v>756.18589999999995</v>
      </c>
      <c r="AO237">
        <f t="shared" si="7"/>
        <v>7</v>
      </c>
      <c r="AU237" cm="1">
        <f t="array" ref="AU237">IF($AO237="","", $AL237 - INDEX($AS$2:$AS$11,$AO237))</f>
        <v>38.73721315789453</v>
      </c>
      <c r="AV237" cm="1">
        <f t="array" ref="AV237">IF($AO237="","", $AM237 - INDEX($AT$2:$AT$11,$AO237))</f>
        <v>4.045699999999897</v>
      </c>
      <c r="AW237">
        <f t="shared" si="8"/>
        <v>156.71914327288991</v>
      </c>
      <c r="BB237">
        <v>1187</v>
      </c>
      <c r="BC237">
        <v>1097</v>
      </c>
      <c r="BD237">
        <v>680</v>
      </c>
      <c r="BE237">
        <v>1188.1775</v>
      </c>
      <c r="BF237">
        <v>1097.4297999999999</v>
      </c>
      <c r="BG237">
        <v>661.28330000000005</v>
      </c>
    </row>
    <row r="238" spans="35:59" x14ac:dyDescent="0.3">
      <c r="AI238">
        <v>1190</v>
      </c>
      <c r="AJ238">
        <v>1098</v>
      </c>
      <c r="AK238">
        <v>686</v>
      </c>
      <c r="AL238">
        <v>1188.6427000000001</v>
      </c>
      <c r="AM238">
        <v>1099.7550000000001</v>
      </c>
      <c r="AN238">
        <v>674.47370000000001</v>
      </c>
      <c r="AO238">
        <f t="shared" si="7"/>
        <v>7</v>
      </c>
      <c r="AU238" cm="1">
        <f t="array" ref="AU238">IF($AO238="","", $AL238 - INDEX($AS$2:$AS$11,$AO238))</f>
        <v>42.749613157894601</v>
      </c>
      <c r="AV238" cm="1">
        <f t="array" ref="AV238">IF($AO238="","", $AM238 - INDEX($AT$2:$AT$11,$AO238))</f>
        <v>3.5948000000000775</v>
      </c>
      <c r="AW238">
        <f t="shared" si="8"/>
        <v>153.67630938000283</v>
      </c>
      <c r="BB238">
        <v>1191</v>
      </c>
      <c r="BC238">
        <v>1095</v>
      </c>
      <c r="BD238">
        <v>595</v>
      </c>
      <c r="BE238">
        <v>1191.0998</v>
      </c>
      <c r="BF238">
        <v>1096.9797000000001</v>
      </c>
      <c r="BG238">
        <v>589.40200000000004</v>
      </c>
    </row>
    <row r="239" spans="35:59" x14ac:dyDescent="0.3">
      <c r="AI239">
        <v>1191</v>
      </c>
      <c r="AJ239">
        <v>1098</v>
      </c>
      <c r="AK239">
        <v>607</v>
      </c>
      <c r="AL239">
        <v>1191.4573</v>
      </c>
      <c r="AM239">
        <v>1099.2121</v>
      </c>
      <c r="AN239">
        <v>604.41830000000004</v>
      </c>
      <c r="AO239">
        <f t="shared" si="7"/>
        <v>7</v>
      </c>
      <c r="AU239" cm="1">
        <f t="array" ref="AU239">IF($AO239="","", $AL239 - INDEX($AS$2:$AS$11,$AO239))</f>
        <v>45.564213157894528</v>
      </c>
      <c r="AV239" cm="1">
        <f t="array" ref="AV239">IF($AO239="","", $AM239 - INDEX($AT$2:$AT$11,$AO239))</f>
        <v>3.0518999999999323</v>
      </c>
      <c r="AW239">
        <f t="shared" si="8"/>
        <v>139.05742213657524</v>
      </c>
      <c r="BB239">
        <v>1193</v>
      </c>
      <c r="BC239">
        <v>1095</v>
      </c>
      <c r="BD239">
        <v>528</v>
      </c>
      <c r="BE239">
        <v>1192.7019</v>
      </c>
      <c r="BF239">
        <v>1096.4745</v>
      </c>
      <c r="BG239">
        <v>531.90629999999999</v>
      </c>
    </row>
    <row r="240" spans="35:59" x14ac:dyDescent="0.3">
      <c r="AI240">
        <v>1191</v>
      </c>
      <c r="AJ240">
        <v>1095</v>
      </c>
      <c r="AK240">
        <v>544</v>
      </c>
      <c r="AL240">
        <v>1192.9931999999999</v>
      </c>
      <c r="AM240">
        <v>1098.5914</v>
      </c>
      <c r="AN240">
        <v>548.00369999999998</v>
      </c>
      <c r="AO240">
        <f t="shared" si="7"/>
        <v>7</v>
      </c>
      <c r="AU240" cm="1">
        <f t="array" ref="AU240">IF($AO240="","", $AL240 - INDEX($AS$2:$AS$11,$AO240))</f>
        <v>47.100113157894384</v>
      </c>
      <c r="AV240" cm="1">
        <f t="array" ref="AV240">IF($AO240="","", $AM240 - INDEX($AT$2:$AT$11,$AO240))</f>
        <v>2.4311999999999898</v>
      </c>
      <c r="AW240">
        <f t="shared" si="8"/>
        <v>114.50979510947235</v>
      </c>
      <c r="BB240">
        <v>1191</v>
      </c>
      <c r="BC240">
        <v>1097</v>
      </c>
      <c r="BD240">
        <v>476</v>
      </c>
      <c r="BE240">
        <v>1192.9373000000001</v>
      </c>
      <c r="BF240">
        <v>1095.9277999999999</v>
      </c>
      <c r="BG240">
        <v>490.44009999999997</v>
      </c>
    </row>
    <row r="241" spans="35:59" x14ac:dyDescent="0.3">
      <c r="AI241">
        <v>1194</v>
      </c>
      <c r="AJ241">
        <v>1096</v>
      </c>
      <c r="AK241">
        <v>494</v>
      </c>
      <c r="AL241">
        <v>1193.2059999999999</v>
      </c>
      <c r="AM241">
        <v>1097.9092000000001</v>
      </c>
      <c r="AN241">
        <v>506.82900000000001</v>
      </c>
      <c r="AO241">
        <f t="shared" si="7"/>
        <v>7</v>
      </c>
      <c r="AU241" cm="1">
        <f t="array" ref="AU241">IF($AO241="","", $AL241 - INDEX($AS$2:$AS$11,$AO241))</f>
        <v>47.3129131578944</v>
      </c>
      <c r="AV241" cm="1">
        <f t="array" ref="AV241">IF($AO241="","", $AM241 - INDEX($AT$2:$AT$11,$AO241))</f>
        <v>1.7490000000000236</v>
      </c>
      <c r="AW241">
        <f t="shared" si="8"/>
        <v>82.750285113158426</v>
      </c>
      <c r="BB241">
        <v>1192</v>
      </c>
      <c r="BC241">
        <v>1094</v>
      </c>
      <c r="BD241">
        <v>450</v>
      </c>
      <c r="BE241">
        <v>1191.7988</v>
      </c>
      <c r="BF241">
        <v>1095.3542</v>
      </c>
      <c r="BG241">
        <v>466.1893</v>
      </c>
    </row>
    <row r="242" spans="35:59" x14ac:dyDescent="0.3">
      <c r="AI242">
        <v>1192</v>
      </c>
      <c r="AJ242">
        <v>1096</v>
      </c>
      <c r="AK242">
        <v>466</v>
      </c>
      <c r="AL242">
        <v>1192.0882999999999</v>
      </c>
      <c r="AM242">
        <v>1097.1837</v>
      </c>
      <c r="AN242">
        <v>482.06270000000001</v>
      </c>
      <c r="AO242">
        <f t="shared" si="7"/>
        <v>7</v>
      </c>
      <c r="AU242" cm="1">
        <f t="array" ref="AU242">IF($AO242="","", $AL242 - INDEX($AS$2:$AS$11,$AO242))</f>
        <v>46.195213157894386</v>
      </c>
      <c r="AV242" cm="1">
        <f t="array" ref="AV242">IF($AO242="","", $AM242 - INDEX($AT$2:$AT$11,$AO242))</f>
        <v>1.0235000000000127</v>
      </c>
      <c r="AW242">
        <f t="shared" si="8"/>
        <v>47.280800667105495</v>
      </c>
      <c r="BB242">
        <v>1193</v>
      </c>
      <c r="BC242">
        <v>1095</v>
      </c>
      <c r="BD242">
        <v>443</v>
      </c>
      <c r="BE242">
        <v>1189.3182999999999</v>
      </c>
      <c r="BF242">
        <v>1094.7693999999999</v>
      </c>
      <c r="BG242">
        <v>459.84739999999999</v>
      </c>
    </row>
    <row r="243" spans="35:59" x14ac:dyDescent="0.3">
      <c r="AI243">
        <v>1189</v>
      </c>
      <c r="AJ243">
        <v>1095</v>
      </c>
      <c r="AK243">
        <v>455</v>
      </c>
      <c r="AL243">
        <v>1189.671</v>
      </c>
      <c r="AM243">
        <v>1096.4341999999999</v>
      </c>
      <c r="AN243">
        <v>474.40890000000002</v>
      </c>
      <c r="AO243">
        <f t="shared" si="7"/>
        <v>7</v>
      </c>
      <c r="AU243" cm="1">
        <f t="array" ref="AU243">IF($AO243="","", $AL243 - INDEX($AS$2:$AS$11,$AO243))</f>
        <v>43.777913157894545</v>
      </c>
      <c r="AV243" cm="1">
        <f t="array" ref="AV243">IF($AO243="","", $AM243 - INDEX($AT$2:$AT$11,$AO243))</f>
        <v>0.27399999999988722</v>
      </c>
      <c r="AW243">
        <f t="shared" si="8"/>
        <v>11.995148205258168</v>
      </c>
      <c r="BB243">
        <v>1186</v>
      </c>
      <c r="BC243">
        <v>1094</v>
      </c>
      <c r="BD243">
        <v>460</v>
      </c>
      <c r="BE243">
        <v>1185.5662</v>
      </c>
      <c r="BF243">
        <v>1094.1891000000001</v>
      </c>
      <c r="BG243">
        <v>471.59629999999999</v>
      </c>
    </row>
    <row r="244" spans="35:59" x14ac:dyDescent="0.3">
      <c r="AI244">
        <v>1186</v>
      </c>
      <c r="AJ244">
        <v>1095</v>
      </c>
      <c r="AK244">
        <v>471</v>
      </c>
      <c r="AL244">
        <v>1186.0216</v>
      </c>
      <c r="AM244">
        <v>1095.6808000000001</v>
      </c>
      <c r="AN244">
        <v>484.08679999999998</v>
      </c>
      <c r="AO244">
        <f t="shared" si="7"/>
        <v>7</v>
      </c>
      <c r="AU244" cm="1">
        <f t="array" ref="AU244">IF($AO244="","", $AL244 - INDEX($AS$2:$AS$11,$AO244))</f>
        <v>40.128513157894531</v>
      </c>
      <c r="AV244" cm="1">
        <f t="array" ref="AV244">IF($AO244="","", $AM244 - INDEX($AT$2:$AT$11,$AO244))</f>
        <v>-0.47939999999994143</v>
      </c>
      <c r="AW244">
        <f t="shared" si="8"/>
        <v>-19.237609207892287</v>
      </c>
      <c r="BB244">
        <v>1183</v>
      </c>
      <c r="BC244">
        <v>1094</v>
      </c>
      <c r="BD244">
        <v>493</v>
      </c>
      <c r="BE244">
        <v>1180.6494</v>
      </c>
      <c r="BF244">
        <v>1093.6288999999999</v>
      </c>
      <c r="BG244">
        <v>501.10039999999998</v>
      </c>
    </row>
    <row r="245" spans="35:59" x14ac:dyDescent="0.3">
      <c r="AI245">
        <v>1180</v>
      </c>
      <c r="AJ245">
        <v>1093</v>
      </c>
      <c r="AK245">
        <v>500</v>
      </c>
      <c r="AL245">
        <v>1181.2427</v>
      </c>
      <c r="AM245">
        <v>1094.9438</v>
      </c>
      <c r="AN245">
        <v>510.82470000000001</v>
      </c>
      <c r="AO245">
        <f t="shared" si="7"/>
        <v>7</v>
      </c>
      <c r="AU245" cm="1">
        <f t="array" ref="AU245">IF($AO245="","", $AL245 - INDEX($AS$2:$AS$11,$AO245))</f>
        <v>35.34961315789451</v>
      </c>
      <c r="AV245" cm="1">
        <f t="array" ref="AV245">IF($AO245="","", $AM245 - INDEX($AT$2:$AT$11,$AO245))</f>
        <v>-1.2164000000000215</v>
      </c>
      <c r="AW245">
        <f t="shared" si="8"/>
        <v>-42.999269445263643</v>
      </c>
      <c r="BB245">
        <v>1175</v>
      </c>
      <c r="BC245">
        <v>1093</v>
      </c>
      <c r="BD245">
        <v>540</v>
      </c>
      <c r="BE245">
        <v>1174.7079000000001</v>
      </c>
      <c r="BF245">
        <v>1093.104</v>
      </c>
      <c r="BG245">
        <v>547.51700000000005</v>
      </c>
    </row>
    <row r="246" spans="35:59" x14ac:dyDescent="0.3">
      <c r="AI246">
        <v>1174</v>
      </c>
      <c r="AJ246">
        <v>1094</v>
      </c>
      <c r="AK246">
        <v>546</v>
      </c>
      <c r="AL246">
        <v>1175.4689000000001</v>
      </c>
      <c r="AM246">
        <v>1094.2428</v>
      </c>
      <c r="AN246">
        <v>553.86630000000002</v>
      </c>
      <c r="AO246">
        <f t="shared" si="7"/>
        <v>7</v>
      </c>
      <c r="AU246" cm="1">
        <f t="array" ref="AU246">IF($AO246="","", $AL246 - INDEX($AS$2:$AS$11,$AO246))</f>
        <v>29.575813157894572</v>
      </c>
      <c r="AV246" cm="1">
        <f t="array" ref="AV246">IF($AO246="","", $AM246 - INDEX($AT$2:$AT$11,$AO246))</f>
        <v>-1.9174000000000433</v>
      </c>
      <c r="AW246">
        <f t="shared" si="8"/>
        <v>-56.70866414894833</v>
      </c>
      <c r="BB246">
        <v>1168</v>
      </c>
      <c r="BC246">
        <v>1092</v>
      </c>
      <c r="BD246">
        <v>594</v>
      </c>
      <c r="BE246">
        <v>1167.9114</v>
      </c>
      <c r="BF246">
        <v>1092.6284000000001</v>
      </c>
      <c r="BG246">
        <v>609.51959999999997</v>
      </c>
    </row>
    <row r="247" spans="35:59" x14ac:dyDescent="0.3">
      <c r="AI247">
        <v>1168</v>
      </c>
      <c r="AJ247">
        <v>1091</v>
      </c>
      <c r="AK247">
        <v>601</v>
      </c>
      <c r="AL247">
        <v>1168.8632</v>
      </c>
      <c r="AM247">
        <v>1093.5968</v>
      </c>
      <c r="AN247">
        <v>611.99279999999999</v>
      </c>
      <c r="AO247">
        <f t="shared" si="7"/>
        <v>7</v>
      </c>
      <c r="AU247" cm="1">
        <f t="array" ref="AU247">IF($AO247="","", $AL247 - INDEX($AS$2:$AS$11,$AO247))</f>
        <v>22.970113157894502</v>
      </c>
      <c r="AV247" cm="1">
        <f t="array" ref="AV247">IF($AO247="","", $AM247 - INDEX($AT$2:$AT$11,$AO247))</f>
        <v>-2.5634000000000015</v>
      </c>
      <c r="AW247">
        <f t="shared" si="8"/>
        <v>-58.881588068946797</v>
      </c>
      <c r="BB247">
        <v>1161</v>
      </c>
      <c r="BC247">
        <v>1092</v>
      </c>
      <c r="BD247">
        <v>662</v>
      </c>
      <c r="BE247">
        <v>1160.4538</v>
      </c>
      <c r="BF247">
        <v>1092.2148</v>
      </c>
      <c r="BG247">
        <v>685.3365</v>
      </c>
    </row>
    <row r="248" spans="35:59" x14ac:dyDescent="0.3">
      <c r="AI248">
        <v>1163</v>
      </c>
      <c r="AJ248">
        <v>1091</v>
      </c>
      <c r="AK248">
        <v>664</v>
      </c>
      <c r="AL248">
        <v>1161.6124</v>
      </c>
      <c r="AM248">
        <v>1093.0228</v>
      </c>
      <c r="AN248">
        <v>683.55619999999999</v>
      </c>
      <c r="AO248">
        <f t="shared" si="7"/>
        <v>7</v>
      </c>
      <c r="AU248" cm="1">
        <f t="array" ref="AU248">IF($AO248="","", $AL248 - INDEX($AS$2:$AS$11,$AO248))</f>
        <v>15.719313157894476</v>
      </c>
      <c r="AV248" cm="1">
        <f t="array" ref="AV248">IF($AO248="","", $AM248 - INDEX($AT$2:$AT$11,$AO248))</f>
        <v>-3.1374000000000706</v>
      </c>
      <c r="AW248">
        <f t="shared" si="8"/>
        <v>-49.317773101579235</v>
      </c>
      <c r="BB248">
        <v>1155</v>
      </c>
      <c r="BC248">
        <v>1092</v>
      </c>
      <c r="BD248">
        <v>735</v>
      </c>
      <c r="BE248">
        <v>1152.548</v>
      </c>
      <c r="BF248">
        <v>1091.8741</v>
      </c>
      <c r="BG248">
        <v>772.80100000000004</v>
      </c>
    </row>
    <row r="249" spans="35:59" x14ac:dyDescent="0.3">
      <c r="AI249">
        <v>1154</v>
      </c>
      <c r="AJ249">
        <v>1091</v>
      </c>
      <c r="AK249">
        <v>735</v>
      </c>
      <c r="AL249">
        <v>1153.9213999999999</v>
      </c>
      <c r="AM249">
        <v>1092.5362</v>
      </c>
      <c r="AN249">
        <v>766.52679999999998</v>
      </c>
      <c r="AO249">
        <f t="shared" si="7"/>
        <v>7</v>
      </c>
      <c r="AU249" cm="1">
        <f t="array" ref="AU249">IF($AO249="","", $AL249 - INDEX($AS$2:$AS$11,$AO249))</f>
        <v>8.0283131578944449</v>
      </c>
      <c r="AV249" cm="1">
        <f t="array" ref="AV249">IF($AO249="","", $AM249 - INDEX($AT$2:$AT$11,$AO249))</f>
        <v>-3.6240000000000236</v>
      </c>
      <c r="AW249">
        <f t="shared" si="8"/>
        <v>-29.094606884209657</v>
      </c>
      <c r="BB249">
        <v>1145</v>
      </c>
      <c r="BC249">
        <v>1091</v>
      </c>
      <c r="BD249">
        <v>827</v>
      </c>
      <c r="BE249">
        <v>1144.4197999999999</v>
      </c>
      <c r="BF249">
        <v>1091.6152999999999</v>
      </c>
      <c r="BG249">
        <v>869.41369999999995</v>
      </c>
    </row>
    <row r="250" spans="35:59" x14ac:dyDescent="0.3">
      <c r="AI250">
        <v>1146</v>
      </c>
      <c r="AJ250">
        <v>1091</v>
      </c>
      <c r="AK250">
        <v>823</v>
      </c>
      <c r="AL250">
        <v>1146.008</v>
      </c>
      <c r="AM250">
        <v>1092.1496999999999</v>
      </c>
      <c r="AN250">
        <v>858.54960000000005</v>
      </c>
      <c r="AO250">
        <f t="shared" si="7"/>
        <v>7</v>
      </c>
      <c r="AU250" cm="1">
        <f t="array" ref="AU250">IF($AO250="","", $AL250 - INDEX($AS$2:$AS$11,$AO250))</f>
        <v>0.11491315789453438</v>
      </c>
      <c r="AV250" cm="1">
        <f t="array" ref="AV250">IF($AO250="","", $AM250 - INDEX($AT$2:$AT$11,$AO250))</f>
        <v>-4.0105000000000928</v>
      </c>
      <c r="AW250">
        <f t="shared" si="8"/>
        <v>-0.46085921973604077</v>
      </c>
      <c r="BB250">
        <v>1139</v>
      </c>
      <c r="BC250">
        <v>1092</v>
      </c>
      <c r="BD250">
        <v>923</v>
      </c>
      <c r="BE250">
        <v>1136.3014000000001</v>
      </c>
      <c r="BF250">
        <v>1091.4449999999999</v>
      </c>
      <c r="BG250">
        <v>972.4135</v>
      </c>
    </row>
    <row r="251" spans="35:59" x14ac:dyDescent="0.3">
      <c r="AI251">
        <v>1142</v>
      </c>
      <c r="AJ251">
        <v>1092</v>
      </c>
      <c r="AK251">
        <v>915</v>
      </c>
      <c r="AL251">
        <v>1138.096</v>
      </c>
      <c r="AM251">
        <v>1091.8732</v>
      </c>
      <c r="AN251">
        <v>957.01189999999997</v>
      </c>
      <c r="AO251">
        <f t="shared" si="7"/>
        <v>7</v>
      </c>
      <c r="AU251" cm="1">
        <f t="array" ref="AU251">IF($AO251="","", $AL251 - INDEX($AS$2:$AS$11,$AO251))</f>
        <v>-7.7970868421055002</v>
      </c>
      <c r="AV251" cm="1">
        <f t="array" ref="AV251">IF($AO251="","", $AM251 - INDEX($AT$2:$AT$11,$AO251))</f>
        <v>-4.2870000000000346</v>
      </c>
      <c r="AW251">
        <f t="shared" si="8"/>
        <v>33.426111292106548</v>
      </c>
      <c r="BB251">
        <v>1132</v>
      </c>
      <c r="BC251">
        <v>1091</v>
      </c>
      <c r="BD251">
        <v>1024</v>
      </c>
      <c r="BE251">
        <v>1128.4247</v>
      </c>
      <c r="BF251">
        <v>1091.3671999999999</v>
      </c>
      <c r="BG251">
        <v>1078.8569</v>
      </c>
    </row>
    <row r="252" spans="35:59" x14ac:dyDescent="0.3">
      <c r="AI252">
        <v>1132</v>
      </c>
      <c r="AJ252">
        <v>1090</v>
      </c>
      <c r="AK252">
        <v>1012</v>
      </c>
      <c r="AL252">
        <v>1130.4096999999999</v>
      </c>
      <c r="AM252">
        <v>1091.7134000000001</v>
      </c>
      <c r="AN252">
        <v>1059.1172999999999</v>
      </c>
      <c r="AO252">
        <f t="shared" si="7"/>
        <v>7</v>
      </c>
      <c r="AU252" cm="1">
        <f t="array" ref="AU252">IF($AO252="","", $AL252 - INDEX($AS$2:$AS$11,$AO252))</f>
        <v>-15.483386842105574</v>
      </c>
      <c r="AV252" cm="1">
        <f t="array" ref="AV252">IF($AO252="","", $AM252 - INDEX($AT$2:$AT$11,$AO252))</f>
        <v>-4.4467999999999392</v>
      </c>
      <c r="AW252">
        <f t="shared" si="8"/>
        <v>68.851524609474126</v>
      </c>
      <c r="BB252">
        <v>1108</v>
      </c>
      <c r="BC252">
        <v>1084</v>
      </c>
      <c r="BD252">
        <v>1233</v>
      </c>
      <c r="BE252">
        <v>1121.0146999999999</v>
      </c>
      <c r="BF252">
        <v>1091.3833999999999</v>
      </c>
      <c r="BG252">
        <v>1185.7019</v>
      </c>
    </row>
    <row r="253" spans="35:59" x14ac:dyDescent="0.3">
      <c r="AI253">
        <v>1123</v>
      </c>
      <c r="AJ253">
        <v>1091</v>
      </c>
      <c r="AK253">
        <v>1117</v>
      </c>
      <c r="AL253">
        <v>1123.1665</v>
      </c>
      <c r="AM253">
        <v>1091.6738</v>
      </c>
      <c r="AN253">
        <v>1161.9647</v>
      </c>
      <c r="AO253">
        <f t="shared" si="7"/>
        <v>7</v>
      </c>
      <c r="AU253" cm="1">
        <f t="array" ref="AU253">IF($AO253="","", $AL253 - INDEX($AS$2:$AS$11,$AO253))</f>
        <v>-22.726586842105462</v>
      </c>
      <c r="AV253" cm="1">
        <f t="array" ref="AV253">IF($AO253="","", $AM253 - INDEX($AT$2:$AT$11,$AO253))</f>
        <v>-4.4864000000000033</v>
      </c>
      <c r="AW253">
        <f t="shared" si="8"/>
        <v>101.96055920842201</v>
      </c>
      <c r="BB253">
        <v>1109</v>
      </c>
      <c r="BC253">
        <v>1091</v>
      </c>
      <c r="BD253">
        <v>1331</v>
      </c>
      <c r="BE253">
        <v>1114.2832000000001</v>
      </c>
      <c r="BF253">
        <v>1091.4927</v>
      </c>
      <c r="BG253">
        <v>1289.8951</v>
      </c>
    </row>
    <row r="254" spans="35:59" x14ac:dyDescent="0.3">
      <c r="AI254">
        <v>1108</v>
      </c>
      <c r="AJ254">
        <v>1092</v>
      </c>
      <c r="AK254">
        <v>1322</v>
      </c>
      <c r="AL254">
        <v>1116.5717</v>
      </c>
      <c r="AM254">
        <v>1091.7546</v>
      </c>
      <c r="AN254">
        <v>1262.6315999999999</v>
      </c>
      <c r="AO254">
        <f t="shared" si="7"/>
        <v>7</v>
      </c>
      <c r="AU254" cm="1">
        <f t="array" ref="AU254">IF($AO254="","", $AL254 - INDEX($AS$2:$AS$11,$AO254))</f>
        <v>-29.321386842105539</v>
      </c>
      <c r="AV254" cm="1">
        <f t="array" ref="AV254">IF($AO254="","", $AM254 - INDEX($AT$2:$AT$11,$AO254))</f>
        <v>-4.4056000000000495</v>
      </c>
      <c r="AW254">
        <f t="shared" si="8"/>
        <v>129.17830187158162</v>
      </c>
      <c r="BB254">
        <v>1105</v>
      </c>
      <c r="BC254">
        <v>1091</v>
      </c>
      <c r="BD254">
        <v>1414</v>
      </c>
      <c r="BE254">
        <v>1108.4224999999999</v>
      </c>
      <c r="BF254">
        <v>1091.6913</v>
      </c>
      <c r="BG254">
        <v>1388.4590000000001</v>
      </c>
    </row>
    <row r="255" spans="35:59" x14ac:dyDescent="0.3">
      <c r="AI255">
        <v>1106</v>
      </c>
      <c r="AJ255">
        <v>1093</v>
      </c>
      <c r="AK255">
        <v>1393</v>
      </c>
      <c r="AL255">
        <v>1110.8118999999999</v>
      </c>
      <c r="AM255">
        <v>1091.9523999999999</v>
      </c>
      <c r="AN255">
        <v>1358.2568000000001</v>
      </c>
      <c r="AO255">
        <f t="shared" si="7"/>
        <v>7</v>
      </c>
      <c r="AU255" cm="1">
        <f t="array" ref="AU255">IF($AO255="","", $AL255 - INDEX($AS$2:$AS$11,$AO255))</f>
        <v>-35.081186842105581</v>
      </c>
      <c r="AV255" cm="1">
        <f t="array" ref="AV255">IF($AO255="","", $AM255 - INDEX($AT$2:$AT$11,$AO255))</f>
        <v>-4.2078000000001339</v>
      </c>
      <c r="AW255">
        <f t="shared" si="8"/>
        <v>147.61461799421656</v>
      </c>
      <c r="BB255">
        <v>1101</v>
      </c>
      <c r="BC255">
        <v>1091</v>
      </c>
      <c r="BD255">
        <v>1511</v>
      </c>
      <c r="BE255">
        <v>1103.6001000000001</v>
      </c>
      <c r="BF255">
        <v>1091.973</v>
      </c>
      <c r="BG255">
        <v>1478.5767000000001</v>
      </c>
    </row>
    <row r="256" spans="35:59" x14ac:dyDescent="0.3">
      <c r="AI256">
        <v>1102</v>
      </c>
      <c r="AJ256">
        <v>1092</v>
      </c>
      <c r="AK256">
        <v>1486</v>
      </c>
      <c r="AL256">
        <v>1106.0501999999999</v>
      </c>
      <c r="AM256">
        <v>1092.2605000000001</v>
      </c>
      <c r="AN256">
        <v>1446.1221</v>
      </c>
      <c r="AO256">
        <f t="shared" si="7"/>
        <v>7</v>
      </c>
      <c r="AU256" cm="1">
        <f t="array" ref="AU256">IF($AO256="","", $AL256 - INDEX($AS$2:$AS$11,$AO256))</f>
        <v>-39.842886842105599</v>
      </c>
      <c r="AV256" cm="1">
        <f t="array" ref="AV256">IF($AO256="","", $AM256 - INDEX($AT$2:$AT$11,$AO256))</f>
        <v>-3.8996999999999389</v>
      </c>
      <c r="AW256">
        <f t="shared" si="8"/>
        <v>155.37530581815676</v>
      </c>
      <c r="BB256">
        <v>1095</v>
      </c>
      <c r="BC256">
        <v>1092</v>
      </c>
      <c r="BD256">
        <v>1596</v>
      </c>
      <c r="BE256">
        <v>1099.9537</v>
      </c>
      <c r="BF256">
        <v>1092.3294000000001</v>
      </c>
      <c r="BG256">
        <v>1557.6731</v>
      </c>
    </row>
    <row r="257" spans="35:59" x14ac:dyDescent="0.3">
      <c r="AI257">
        <v>1102</v>
      </c>
      <c r="AJ257">
        <v>1093</v>
      </c>
      <c r="AK257">
        <v>1563</v>
      </c>
      <c r="AL257">
        <v>1102.421</v>
      </c>
      <c r="AM257">
        <v>1092.6693</v>
      </c>
      <c r="AN257">
        <v>1523.7301</v>
      </c>
      <c r="AO257">
        <f t="shared" si="7"/>
        <v>7</v>
      </c>
      <c r="AU257" cm="1">
        <f t="array" ref="AU257">IF($AO257="","", $AL257 - INDEX($AS$2:$AS$11,$AO257))</f>
        <v>-43.472086842105455</v>
      </c>
      <c r="AV257" cm="1">
        <f t="array" ref="AV257">IF($AO257="","", $AM257 - INDEX($AT$2:$AT$11,$AO257))</f>
        <v>-3.4909000000000106</v>
      </c>
      <c r="AW257">
        <f t="shared" si="8"/>
        <v>151.75670795710639</v>
      </c>
      <c r="BB257">
        <v>1095</v>
      </c>
      <c r="BC257">
        <v>1093</v>
      </c>
      <c r="BD257">
        <v>1660</v>
      </c>
      <c r="BE257">
        <v>1097.5876000000001</v>
      </c>
      <c r="BF257">
        <v>1092.75</v>
      </c>
      <c r="BG257">
        <v>1623.4879000000001</v>
      </c>
    </row>
    <row r="258" spans="35:59" x14ac:dyDescent="0.3">
      <c r="AI258">
        <v>1096</v>
      </c>
      <c r="AJ258">
        <v>1091</v>
      </c>
      <c r="AK258">
        <v>1625</v>
      </c>
      <c r="AL258">
        <v>1100.0268000000001</v>
      </c>
      <c r="AM258">
        <v>1093.1660999999999</v>
      </c>
      <c r="AN258">
        <v>1588.8752999999999</v>
      </c>
      <c r="AO258">
        <f t="shared" si="7"/>
        <v>7</v>
      </c>
      <c r="AU258" cm="1">
        <f t="array" ref="AU258">IF($AO258="","", $AL258 - INDEX($AS$2:$AS$11,$AO258))</f>
        <v>-45.86628684210541</v>
      </c>
      <c r="AV258" cm="1">
        <f t="array" ref="AV258">IF($AO258="","", $AM258 - INDEX($AT$2:$AT$11,$AO258))</f>
        <v>-2.9941000000001168</v>
      </c>
      <c r="AW258">
        <f t="shared" si="8"/>
        <v>137.32824943395318</v>
      </c>
      <c r="BB258">
        <v>1094</v>
      </c>
      <c r="BC258">
        <v>1092</v>
      </c>
      <c r="BD258">
        <v>1710</v>
      </c>
      <c r="BE258">
        <v>1096.5693000000001</v>
      </c>
      <c r="BF258">
        <v>1093.2225000000001</v>
      </c>
      <c r="BG258">
        <v>1674.1405</v>
      </c>
    </row>
    <row r="259" spans="35:59" x14ac:dyDescent="0.3">
      <c r="AI259">
        <v>1097</v>
      </c>
      <c r="AJ259">
        <v>1094</v>
      </c>
      <c r="AK259">
        <v>1679</v>
      </c>
      <c r="AL259">
        <v>1098.9349</v>
      </c>
      <c r="AM259">
        <v>1093.7360000000001</v>
      </c>
      <c r="AN259">
        <v>1639.7074</v>
      </c>
      <c r="AO259">
        <f t="shared" ref="AO259:AO322" si="9">IF(ROW()-ROW($AL$2)+1&lt;=$AP$3, INT((ROW()-ROW($AL$2))/$AP$1)+1, "")</f>
        <v>7</v>
      </c>
      <c r="AU259" cm="1">
        <f t="array" ref="AU259">IF($AO259="","", $AL259 - INDEX($AS$2:$AS$11,$AO259))</f>
        <v>-46.958186842105533</v>
      </c>
      <c r="AV259" cm="1">
        <f t="array" ref="AV259">IF($AO259="","", $AM259 - INDEX($AT$2:$AT$11,$AO259))</f>
        <v>-2.424199999999928</v>
      </c>
      <c r="AW259">
        <f t="shared" ref="AW259:AW322" si="10">IF($AO259="","", $AU259*$AV259)</f>
        <v>113.83603654262885</v>
      </c>
      <c r="BB259">
        <v>1095</v>
      </c>
      <c r="BC259">
        <v>1094</v>
      </c>
      <c r="BD259">
        <v>1735</v>
      </c>
      <c r="BE259">
        <v>1096.9277999999999</v>
      </c>
      <c r="BF259">
        <v>1093.7331999999999</v>
      </c>
      <c r="BG259">
        <v>1708.1835000000001</v>
      </c>
    </row>
    <row r="260" spans="35:59" x14ac:dyDescent="0.3">
      <c r="AI260">
        <v>1100</v>
      </c>
      <c r="AJ260">
        <v>1095</v>
      </c>
      <c r="AK260">
        <v>1711</v>
      </c>
      <c r="AL260">
        <v>1099.1754000000001</v>
      </c>
      <c r="AM260">
        <v>1094.3620000000001</v>
      </c>
      <c r="AN260">
        <v>1674.7842000000001</v>
      </c>
      <c r="AO260">
        <f t="shared" si="9"/>
        <v>7</v>
      </c>
      <c r="AU260" cm="1">
        <f t="array" ref="AU260">IF($AO260="","", $AL260 - INDEX($AS$2:$AS$11,$AO260))</f>
        <v>-46.717686842105422</v>
      </c>
      <c r="AV260" cm="1">
        <f t="array" ref="AV260">IF($AO260="","", $AM260 - INDEX($AT$2:$AT$11,$AO260))</f>
        <v>-1.7981999999999516</v>
      </c>
      <c r="AW260">
        <f t="shared" si="10"/>
        <v>84.007744479471711</v>
      </c>
      <c r="BB260">
        <v>1099</v>
      </c>
      <c r="BC260">
        <v>1095</v>
      </c>
      <c r="BD260">
        <v>1741</v>
      </c>
      <c r="BE260">
        <v>1098.6528000000001</v>
      </c>
      <c r="BF260">
        <v>1094.2675999999999</v>
      </c>
      <c r="BG260">
        <v>1724.6442999999999</v>
      </c>
    </row>
    <row r="261" spans="35:59" x14ac:dyDescent="0.3">
      <c r="AI261">
        <v>1101</v>
      </c>
      <c r="AJ261">
        <v>1095</v>
      </c>
      <c r="AK261">
        <v>1717</v>
      </c>
      <c r="AL261">
        <v>1100.7406000000001</v>
      </c>
      <c r="AM261">
        <v>1095.0255</v>
      </c>
      <c r="AN261">
        <v>1693.1128000000001</v>
      </c>
      <c r="AO261">
        <f t="shared" si="9"/>
        <v>7</v>
      </c>
      <c r="AU261" cm="1">
        <f t="array" ref="AU261">IF($AO261="","", $AL261 - INDEX($AS$2:$AS$11,$AO261))</f>
        <v>-45.152486842105418</v>
      </c>
      <c r="AV261" cm="1">
        <f t="array" ref="AV261">IF($AO261="","", $AM261 - INDEX($AT$2:$AT$11,$AO261))</f>
        <v>-1.1347000000000662</v>
      </c>
      <c r="AW261">
        <f t="shared" si="10"/>
        <v>51.234526819740005</v>
      </c>
      <c r="BB261">
        <v>1105</v>
      </c>
      <c r="BC261">
        <v>1095</v>
      </c>
      <c r="BD261">
        <v>1723</v>
      </c>
      <c r="BE261">
        <v>1101.6949999999999</v>
      </c>
      <c r="BF261">
        <v>1094.8103000000001</v>
      </c>
      <c r="BG261">
        <v>1723.0527999999999</v>
      </c>
    </row>
    <row r="262" spans="35:59" x14ac:dyDescent="0.3">
      <c r="AI262">
        <v>1103</v>
      </c>
      <c r="AJ262">
        <v>1095</v>
      </c>
      <c r="AK262">
        <v>1702</v>
      </c>
      <c r="AL262">
        <v>1103.5849000000001</v>
      </c>
      <c r="AM262">
        <v>1095.7071000000001</v>
      </c>
      <c r="AN262">
        <v>1694.1786</v>
      </c>
      <c r="AO262">
        <f t="shared" si="9"/>
        <v>7</v>
      </c>
      <c r="AU262" cm="1">
        <f t="array" ref="AU262">IF($AO262="","", $AL262 - INDEX($AS$2:$AS$11,$AO262))</f>
        <v>-42.308186842105442</v>
      </c>
      <c r="AV262" cm="1">
        <f t="array" ref="AV262">IF($AO262="","", $AM262 - INDEX($AT$2:$AT$11,$AO262))</f>
        <v>-0.45309999999994943</v>
      </c>
      <c r="AW262">
        <f t="shared" si="10"/>
        <v>19.169839458155838</v>
      </c>
      <c r="BB262">
        <v>1104</v>
      </c>
      <c r="BC262">
        <v>1094</v>
      </c>
      <c r="BD262">
        <v>1687</v>
      </c>
      <c r="BE262">
        <v>1105.9673</v>
      </c>
      <c r="BF262">
        <v>1095.3459</v>
      </c>
      <c r="BG262">
        <v>1703.4548</v>
      </c>
    </row>
    <row r="263" spans="35:59" x14ac:dyDescent="0.3">
      <c r="AI263">
        <v>1107</v>
      </c>
      <c r="AJ263">
        <v>1096</v>
      </c>
      <c r="AK263">
        <v>1674</v>
      </c>
      <c r="AL263">
        <v>1107.6264000000001</v>
      </c>
      <c r="AM263">
        <v>1096.3868</v>
      </c>
      <c r="AN263">
        <v>1677.9597000000001</v>
      </c>
      <c r="AO263">
        <f t="shared" si="9"/>
        <v>7</v>
      </c>
      <c r="AU263" cm="1">
        <f t="array" ref="AU263">IF($AO263="","", $AL263 - INDEX($AS$2:$AS$11,$AO263))</f>
        <v>-38.266686842105401</v>
      </c>
      <c r="AV263" cm="1">
        <f t="array" ref="AV263">IF($AO263="","", $AM263 - INDEX($AT$2:$AT$11,$AO263))</f>
        <v>0.22659999999996217</v>
      </c>
      <c r="AW263">
        <f t="shared" si="10"/>
        <v>-8.6712312384196366</v>
      </c>
      <c r="BB263">
        <v>1111</v>
      </c>
      <c r="BC263">
        <v>1095</v>
      </c>
      <c r="BD263">
        <v>1648</v>
      </c>
      <c r="BE263">
        <v>1111.3475000000001</v>
      </c>
      <c r="BF263">
        <v>1095.8593000000001</v>
      </c>
      <c r="BG263">
        <v>1666.4105</v>
      </c>
    </row>
    <row r="264" spans="35:59" x14ac:dyDescent="0.3">
      <c r="AI264">
        <v>1107</v>
      </c>
      <c r="AJ264">
        <v>1097</v>
      </c>
      <c r="AK264">
        <v>1626</v>
      </c>
      <c r="AL264">
        <v>1112.7492</v>
      </c>
      <c r="AM264">
        <v>1097.0447999999999</v>
      </c>
      <c r="AN264">
        <v>1644.9285</v>
      </c>
      <c r="AO264">
        <f t="shared" si="9"/>
        <v>7</v>
      </c>
      <c r="AU264" cm="1">
        <f t="array" ref="AU264">IF($AO264="","", $AL264 - INDEX($AS$2:$AS$11,$AO264))</f>
        <v>-33.14388684210553</v>
      </c>
      <c r="AV264" cm="1">
        <f t="array" ref="AV264">IF($AO264="","", $AM264 - INDEX($AT$2:$AT$11,$AO264))</f>
        <v>0.88459999999986394</v>
      </c>
      <c r="AW264">
        <f t="shared" si="10"/>
        <v>-29.319082300522041</v>
      </c>
      <c r="BB264">
        <v>1120</v>
      </c>
      <c r="BC264">
        <v>1097</v>
      </c>
      <c r="BD264">
        <v>1594</v>
      </c>
      <c r="BE264">
        <v>1117.6818000000001</v>
      </c>
      <c r="BF264">
        <v>1096.336</v>
      </c>
      <c r="BG264">
        <v>1612.9789000000001</v>
      </c>
    </row>
    <row r="265" spans="35:59" x14ac:dyDescent="0.3">
      <c r="AI265">
        <v>1118</v>
      </c>
      <c r="AJ265">
        <v>1097</v>
      </c>
      <c r="AK265">
        <v>1576</v>
      </c>
      <c r="AL265">
        <v>1118.8062</v>
      </c>
      <c r="AM265">
        <v>1097.6622</v>
      </c>
      <c r="AN265">
        <v>1596.0376000000001</v>
      </c>
      <c r="AO265">
        <f t="shared" si="9"/>
        <v>7</v>
      </c>
      <c r="AU265" cm="1">
        <f t="array" ref="AU265">IF($AO265="","", $AL265 - INDEX($AS$2:$AS$11,$AO265))</f>
        <v>-27.086886842105514</v>
      </c>
      <c r="AV265" cm="1">
        <f t="array" ref="AV265">IF($AO265="","", $AM265 - INDEX($AT$2:$AT$11,$AO265))</f>
        <v>1.5019999999999527</v>
      </c>
      <c r="AW265">
        <f t="shared" si="10"/>
        <v>-40.684504036841204</v>
      </c>
      <c r="BB265">
        <v>1125</v>
      </c>
      <c r="BC265">
        <v>1097</v>
      </c>
      <c r="BD265">
        <v>1523</v>
      </c>
      <c r="BE265">
        <v>1124.7891</v>
      </c>
      <c r="BF265">
        <v>1096.7627</v>
      </c>
      <c r="BG265">
        <v>1544.6869999999999</v>
      </c>
    </row>
    <row r="266" spans="35:59" x14ac:dyDescent="0.3">
      <c r="AI266">
        <v>1126</v>
      </c>
      <c r="AJ266">
        <v>1098</v>
      </c>
      <c r="AK266">
        <v>1512</v>
      </c>
      <c r="AL266">
        <v>1125.6241</v>
      </c>
      <c r="AM266">
        <v>1098.2212999999999</v>
      </c>
      <c r="AN266">
        <v>1532.6934000000001</v>
      </c>
      <c r="AO266">
        <f t="shared" si="9"/>
        <v>7</v>
      </c>
      <c r="AU266" cm="1">
        <f t="array" ref="AU266">IF($AO266="","", $AL266 - INDEX($AS$2:$AS$11,$AO266))</f>
        <v>-20.268986842105505</v>
      </c>
      <c r="AV266" cm="1">
        <f t="array" ref="AV266">IF($AO266="","", $AM266 - INDEX($AT$2:$AT$11,$AO266))</f>
        <v>2.0610999999998967</v>
      </c>
      <c r="AW266">
        <f t="shared" si="10"/>
        <v>-41.776408780261562</v>
      </c>
      <c r="BB266">
        <v>1134</v>
      </c>
      <c r="BC266">
        <v>1098</v>
      </c>
      <c r="BD266">
        <v>1451</v>
      </c>
      <c r="BE266">
        <v>1132.4659999999999</v>
      </c>
      <c r="BF266">
        <v>1097.1275000000001</v>
      </c>
      <c r="BG266">
        <v>1463.4863</v>
      </c>
    </row>
    <row r="267" spans="35:59" x14ac:dyDescent="0.3">
      <c r="AI267">
        <v>1137</v>
      </c>
      <c r="AJ267">
        <v>1097</v>
      </c>
      <c r="AK267">
        <v>1442</v>
      </c>
      <c r="AL267">
        <v>1133.0077000000001</v>
      </c>
      <c r="AM267">
        <v>1098.7061000000001</v>
      </c>
      <c r="AN267">
        <v>1456.7157</v>
      </c>
      <c r="AO267">
        <f t="shared" si="9"/>
        <v>7</v>
      </c>
      <c r="AU267" cm="1">
        <f t="array" ref="AU267">IF($AO267="","", $AL267 - INDEX($AS$2:$AS$11,$AO267))</f>
        <v>-12.88538684210539</v>
      </c>
      <c r="AV267" cm="1">
        <f t="array" ref="AV267">IF($AO267="","", $AM267 - INDEX($AT$2:$AT$11,$AO267))</f>
        <v>2.5459000000000742</v>
      </c>
      <c r="AW267">
        <f t="shared" si="10"/>
        <v>-32.804906361317066</v>
      </c>
      <c r="BB267">
        <v>1142</v>
      </c>
      <c r="BC267">
        <v>1097</v>
      </c>
      <c r="BD267">
        <v>1364</v>
      </c>
      <c r="BE267">
        <v>1140.4933000000001</v>
      </c>
      <c r="BF267">
        <v>1097.4204999999999</v>
      </c>
      <c r="BG267">
        <v>1371.6973</v>
      </c>
    </row>
    <row r="268" spans="35:59" x14ac:dyDescent="0.3">
      <c r="AI268">
        <v>1140</v>
      </c>
      <c r="AJ268">
        <v>1096</v>
      </c>
      <c r="AK268">
        <v>1358</v>
      </c>
      <c r="AL268">
        <v>1140.7456999999999</v>
      </c>
      <c r="AM268">
        <v>1099.1029000000001</v>
      </c>
      <c r="AN268">
        <v>1370.2864</v>
      </c>
      <c r="AO268">
        <f t="shared" si="9"/>
        <v>8</v>
      </c>
      <c r="AU268" cm="1">
        <f t="array" ref="AU268">IF($AO268="","", $AL268 - INDEX($AS$2:$AS$11,$AO268))</f>
        <v>-4.4846394736839557</v>
      </c>
      <c r="AV268" cm="1">
        <f t="array" ref="AV268">IF($AO268="","", $AM268 - INDEX($AT$2:$AT$11,$AO268))</f>
        <v>3.0933605263160189</v>
      </c>
      <c r="AW268">
        <f t="shared" si="10"/>
        <v>-13.872606722652595</v>
      </c>
      <c r="BB268">
        <v>1143</v>
      </c>
      <c r="BC268">
        <v>1099</v>
      </c>
      <c r="BD268">
        <v>1269</v>
      </c>
      <c r="BE268">
        <v>1148.6414</v>
      </c>
      <c r="BF268">
        <v>1097.6334999999999</v>
      </c>
      <c r="BG268">
        <v>1271.9425000000001</v>
      </c>
    </row>
    <row r="269" spans="35:59" x14ac:dyDescent="0.3">
      <c r="AI269">
        <v>1147</v>
      </c>
      <c r="AJ269">
        <v>1098</v>
      </c>
      <c r="AK269">
        <v>1270</v>
      </c>
      <c r="AL269">
        <v>1148.6166000000001</v>
      </c>
      <c r="AM269">
        <v>1099.4007999999999</v>
      </c>
      <c r="AN269">
        <v>1275.8862999999999</v>
      </c>
      <c r="AO269">
        <f t="shared" si="9"/>
        <v>8</v>
      </c>
      <c r="AU269" cm="1">
        <f t="array" ref="AU269">IF($AO269="","", $AL269 - INDEX($AS$2:$AS$11,$AO269))</f>
        <v>3.386260526316164</v>
      </c>
      <c r="AV269" cm="1">
        <f t="array" ref="AV269">IF($AO269="","", $AM269 - INDEX($AT$2:$AT$11,$AO269))</f>
        <v>3.3912605263158184</v>
      </c>
      <c r="AW269">
        <f t="shared" si="10"/>
        <v>11.483691654717434</v>
      </c>
      <c r="BB269">
        <v>1156</v>
      </c>
      <c r="BC269">
        <v>1098</v>
      </c>
      <c r="BD269">
        <v>1168</v>
      </c>
      <c r="BE269">
        <v>1156.6774</v>
      </c>
      <c r="BF269">
        <v>1097.761</v>
      </c>
      <c r="BG269">
        <v>1167.0721000000001</v>
      </c>
    </row>
    <row r="270" spans="35:59" x14ac:dyDescent="0.3">
      <c r="AI270">
        <v>1160</v>
      </c>
      <c r="AJ270">
        <v>1098</v>
      </c>
      <c r="AK270">
        <v>1176</v>
      </c>
      <c r="AL270">
        <v>1156.3952999999999</v>
      </c>
      <c r="AM270">
        <v>1099.5916999999999</v>
      </c>
      <c r="AN270">
        <v>1176.2251000000001</v>
      </c>
      <c r="AO270">
        <f t="shared" si="9"/>
        <v>8</v>
      </c>
      <c r="AU270" cm="1">
        <f t="array" ref="AU270">IF($AO270="","", $AL270 - INDEX($AS$2:$AS$11,$AO270))</f>
        <v>11.164960526316008</v>
      </c>
      <c r="AV270" cm="1">
        <f t="array" ref="AV270">IF($AO270="","", $AM270 - INDEX($AT$2:$AT$11,$AO270))</f>
        <v>3.5821605263158744</v>
      </c>
      <c r="AW270">
        <f t="shared" si="10"/>
        <v>39.994680875244114</v>
      </c>
      <c r="BB270">
        <v>1164</v>
      </c>
      <c r="BC270">
        <v>1098</v>
      </c>
      <c r="BD270">
        <v>1065</v>
      </c>
      <c r="BE270">
        <v>1164.3717999999999</v>
      </c>
      <c r="BF270">
        <v>1097.7998</v>
      </c>
      <c r="BG270">
        <v>1060.0822000000001</v>
      </c>
    </row>
    <row r="271" spans="35:59" x14ac:dyDescent="0.3">
      <c r="AI271">
        <v>1163</v>
      </c>
      <c r="AJ271">
        <v>1099</v>
      </c>
      <c r="AK271">
        <v>1071</v>
      </c>
      <c r="AL271">
        <v>1163.8593000000001</v>
      </c>
      <c r="AM271">
        <v>1099.6704999999999</v>
      </c>
      <c r="AN271">
        <v>1074.1636000000001</v>
      </c>
      <c r="AO271">
        <f t="shared" si="9"/>
        <v>8</v>
      </c>
      <c r="AU271" cm="1">
        <f t="array" ref="AU271">IF($AO271="","", $AL271 - INDEX($AS$2:$AS$11,$AO271))</f>
        <v>18.628960526316177</v>
      </c>
      <c r="AV271" cm="1">
        <f t="array" ref="AV271">IF($AO271="","", $AM271 - INDEX($AT$2:$AT$11,$AO271))</f>
        <v>3.6609605263158755</v>
      </c>
      <c r="AW271">
        <f t="shared" si="10"/>
        <v>68.199889133140147</v>
      </c>
      <c r="BB271">
        <v>1169</v>
      </c>
      <c r="BC271">
        <v>1083</v>
      </c>
      <c r="BD271">
        <v>927</v>
      </c>
      <c r="BE271">
        <v>1171.5045</v>
      </c>
      <c r="BF271">
        <v>1097.7492</v>
      </c>
      <c r="BG271">
        <v>954.02890000000002</v>
      </c>
    </row>
    <row r="272" spans="35:59" x14ac:dyDescent="0.3">
      <c r="AI272">
        <v>1170</v>
      </c>
      <c r="AJ272">
        <v>1099</v>
      </c>
      <c r="AK272">
        <v>978</v>
      </c>
      <c r="AL272">
        <v>1170.7949000000001</v>
      </c>
      <c r="AM272">
        <v>1099.6358</v>
      </c>
      <c r="AN272">
        <v>972.6318</v>
      </c>
      <c r="AO272">
        <f t="shared" si="9"/>
        <v>8</v>
      </c>
      <c r="AU272" cm="1">
        <f t="array" ref="AU272">IF($AO272="","", $AL272 - INDEX($AS$2:$AS$11,$AO272))</f>
        <v>25.5645605263162</v>
      </c>
      <c r="AV272" cm="1">
        <f t="array" ref="AV272">IF($AO272="","", $AM272 - INDEX($AT$2:$AT$11,$AO272))</f>
        <v>3.6262605263159458</v>
      </c>
      <c r="AW272">
        <f t="shared" si="10"/>
        <v>92.703756709195233</v>
      </c>
      <c r="BB272">
        <v>1176</v>
      </c>
      <c r="BC272">
        <v>1096</v>
      </c>
      <c r="BD272">
        <v>878</v>
      </c>
      <c r="BE272">
        <v>1177.8720000000001</v>
      </c>
      <c r="BF272">
        <v>1097.6112000000001</v>
      </c>
      <c r="BG272">
        <v>851.94150000000002</v>
      </c>
    </row>
    <row r="273" spans="35:59" x14ac:dyDescent="0.3">
      <c r="AI273">
        <v>1175</v>
      </c>
      <c r="AJ273">
        <v>1099</v>
      </c>
      <c r="AK273">
        <v>886</v>
      </c>
      <c r="AL273">
        <v>1177.0038999999999</v>
      </c>
      <c r="AM273">
        <v>1099.4891</v>
      </c>
      <c r="AN273">
        <v>874.54499999999996</v>
      </c>
      <c r="AO273">
        <f t="shared" si="9"/>
        <v>8</v>
      </c>
      <c r="AU273" cm="1">
        <f t="array" ref="AU273">IF($AO273="","", $AL273 - INDEX($AS$2:$AS$11,$AO273))</f>
        <v>31.773560526316032</v>
      </c>
      <c r="AV273" cm="1">
        <f t="array" ref="AV273">IF($AO273="","", $AM273 - INDEX($AT$2:$AT$11,$AO273))</f>
        <v>3.4795605263159359</v>
      </c>
      <c r="AW273">
        <f t="shared" si="10"/>
        <v>110.55802698787946</v>
      </c>
      <c r="BB273">
        <v>1183</v>
      </c>
      <c r="BC273">
        <v>1098</v>
      </c>
      <c r="BD273">
        <v>777</v>
      </c>
      <c r="BE273">
        <v>1183.2925</v>
      </c>
      <c r="BF273">
        <v>1097.3901000000001</v>
      </c>
      <c r="BG273">
        <v>756.73559999999998</v>
      </c>
    </row>
    <row r="274" spans="35:59" x14ac:dyDescent="0.3">
      <c r="AI274">
        <v>1177</v>
      </c>
      <c r="AJ274">
        <v>1098</v>
      </c>
      <c r="AK274">
        <v>797</v>
      </c>
      <c r="AL274">
        <v>1182.3082999999999</v>
      </c>
      <c r="AM274">
        <v>1099.2356</v>
      </c>
      <c r="AN274">
        <v>782.72040000000004</v>
      </c>
      <c r="AO274">
        <f t="shared" si="9"/>
        <v>8</v>
      </c>
      <c r="AU274" cm="1">
        <f t="array" ref="AU274">IF($AO274="","", $AL274 - INDEX($AS$2:$AS$11,$AO274))</f>
        <v>37.077960526316019</v>
      </c>
      <c r="AV274" cm="1">
        <f t="array" ref="AV274">IF($AO274="","", $AM274 - INDEX($AT$2:$AT$11,$AO274))</f>
        <v>3.226060526315905</v>
      </c>
      <c r="AW274">
        <f t="shared" si="10"/>
        <v>119.61574485024741</v>
      </c>
      <c r="BB274">
        <v>1188</v>
      </c>
      <c r="BC274">
        <v>1097</v>
      </c>
      <c r="BD274">
        <v>682</v>
      </c>
      <c r="BE274">
        <v>1187.6112000000001</v>
      </c>
      <c r="BF274">
        <v>1097.0925999999999</v>
      </c>
      <c r="BG274">
        <v>671.12959999999998</v>
      </c>
    </row>
    <row r="275" spans="35:59" x14ac:dyDescent="0.3">
      <c r="AI275">
        <v>1185</v>
      </c>
      <c r="AJ275">
        <v>1097</v>
      </c>
      <c r="AK275">
        <v>704</v>
      </c>
      <c r="AL275">
        <v>1186.5564999999999</v>
      </c>
      <c r="AM275">
        <v>1098.8832</v>
      </c>
      <c r="AN275">
        <v>699.79639999999995</v>
      </c>
      <c r="AO275">
        <f t="shared" si="9"/>
        <v>8</v>
      </c>
      <c r="AU275" cm="1">
        <f t="array" ref="AU275">IF($AO275="","", $AL275 - INDEX($AS$2:$AS$11,$AO275))</f>
        <v>41.326160526316016</v>
      </c>
      <c r="AV275" cm="1">
        <f t="array" ref="AV275">IF($AO275="","", $AM275 - INDEX($AT$2:$AT$11,$AO275))</f>
        <v>2.8736605263159163</v>
      </c>
      <c r="AW275">
        <f t="shared" si="10"/>
        <v>118.75735620866932</v>
      </c>
      <c r="BB275">
        <v>1191</v>
      </c>
      <c r="BC275">
        <v>1098</v>
      </c>
      <c r="BD275">
        <v>607</v>
      </c>
      <c r="BE275">
        <v>1190.7049</v>
      </c>
      <c r="BF275">
        <v>1096.7275999999999</v>
      </c>
      <c r="BG275">
        <v>597.5675</v>
      </c>
    </row>
    <row r="276" spans="35:59" x14ac:dyDescent="0.3">
      <c r="AI276">
        <v>1187</v>
      </c>
      <c r="AJ276">
        <v>1098</v>
      </c>
      <c r="AK276">
        <v>635</v>
      </c>
      <c r="AL276">
        <v>1189.6267</v>
      </c>
      <c r="AM276">
        <v>1098.4428</v>
      </c>
      <c r="AN276">
        <v>628.15679999999998</v>
      </c>
      <c r="AO276">
        <f t="shared" si="9"/>
        <v>8</v>
      </c>
      <c r="AU276" cm="1">
        <f t="array" ref="AU276">IF($AO276="","", $AL276 - INDEX($AS$2:$AS$11,$AO276))</f>
        <v>44.39636052631613</v>
      </c>
      <c r="AV276" cm="1">
        <f t="array" ref="AV276">IF($AO276="","", $AM276 - INDEX($AT$2:$AT$11,$AO276))</f>
        <v>2.4332605263159621</v>
      </c>
      <c r="AW276">
        <f t="shared" si="10"/>
        <v>108.02791158077719</v>
      </c>
      <c r="BB276">
        <v>1192</v>
      </c>
      <c r="BC276">
        <v>1096</v>
      </c>
      <c r="BD276">
        <v>537</v>
      </c>
      <c r="BE276">
        <v>1192.4857999999999</v>
      </c>
      <c r="BF276">
        <v>1096.3059000000001</v>
      </c>
      <c r="BG276">
        <v>538.14859999999999</v>
      </c>
    </row>
    <row r="277" spans="35:59" x14ac:dyDescent="0.3">
      <c r="AI277">
        <v>1194</v>
      </c>
      <c r="AJ277">
        <v>1098</v>
      </c>
      <c r="AK277">
        <v>570</v>
      </c>
      <c r="AL277">
        <v>1191.431</v>
      </c>
      <c r="AM277">
        <v>1097.9280000000001</v>
      </c>
      <c r="AN277">
        <v>569.86220000000003</v>
      </c>
      <c r="AO277">
        <f t="shared" si="9"/>
        <v>8</v>
      </c>
      <c r="AU277" cm="1">
        <f t="array" ref="AU277">IF($AO277="","", $AL277 - INDEX($AS$2:$AS$11,$AO277))</f>
        <v>46.200660526316142</v>
      </c>
      <c r="AV277" cm="1">
        <f t="array" ref="AV277">IF($AO277="","", $AM277 - INDEX($AT$2:$AT$11,$AO277))</f>
        <v>1.9184605263160392</v>
      </c>
      <c r="AW277">
        <f t="shared" si="10"/>
        <v>88.634143509465119</v>
      </c>
      <c r="BB277">
        <v>1194</v>
      </c>
      <c r="BC277">
        <v>1096</v>
      </c>
      <c r="BD277">
        <v>485</v>
      </c>
      <c r="BE277">
        <v>1192.9032</v>
      </c>
      <c r="BF277">
        <v>1095.8398999999999</v>
      </c>
      <c r="BG277">
        <v>494.56790000000001</v>
      </c>
    </row>
    <row r="278" spans="35:59" x14ac:dyDescent="0.3">
      <c r="AI278">
        <v>1190</v>
      </c>
      <c r="AJ278">
        <v>1096</v>
      </c>
      <c r="AK278">
        <v>516</v>
      </c>
      <c r="AL278">
        <v>1191.9174</v>
      </c>
      <c r="AM278">
        <v>1097.3543</v>
      </c>
      <c r="AN278">
        <v>526.59140000000002</v>
      </c>
      <c r="AO278">
        <f t="shared" si="9"/>
        <v>8</v>
      </c>
      <c r="AU278" cm="1">
        <f t="array" ref="AU278">IF($AO278="","", $AL278 - INDEX($AS$2:$AS$11,$AO278))</f>
        <v>46.687060526316145</v>
      </c>
      <c r="AV278" cm="1">
        <f t="array" ref="AV278">IF($AO278="","", $AM278 - INDEX($AT$2:$AT$11,$AO278))</f>
        <v>1.3447605263158948</v>
      </c>
      <c r="AW278">
        <f t="shared" si="10"/>
        <v>62.782916085510934</v>
      </c>
      <c r="BB278">
        <v>1187</v>
      </c>
      <c r="BC278">
        <v>1096</v>
      </c>
      <c r="BD278">
        <v>460</v>
      </c>
      <c r="BE278">
        <v>1191.9458</v>
      </c>
      <c r="BF278">
        <v>1095.3431</v>
      </c>
      <c r="BG278">
        <v>468.0675</v>
      </c>
    </row>
    <row r="279" spans="35:59" x14ac:dyDescent="0.3">
      <c r="AI279">
        <v>1191</v>
      </c>
      <c r="AJ279">
        <v>1095</v>
      </c>
      <c r="AK279">
        <v>484</v>
      </c>
      <c r="AL279">
        <v>1191.0719999999999</v>
      </c>
      <c r="AM279">
        <v>1096.7388000000001</v>
      </c>
      <c r="AN279">
        <v>499.5924</v>
      </c>
      <c r="AO279">
        <f t="shared" si="9"/>
        <v>8</v>
      </c>
      <c r="AU279" cm="1">
        <f t="array" ref="AU279">IF($AO279="","", $AL279 - INDEX($AS$2:$AS$11,$AO279))</f>
        <v>45.841660526315991</v>
      </c>
      <c r="AV279" cm="1">
        <f t="array" ref="AV279">IF($AO279="","", $AM279 - INDEX($AT$2:$AT$11,$AO279))</f>
        <v>0.72926052631601124</v>
      </c>
      <c r="AW279">
        <f t="shared" si="10"/>
        <v>33.430513482621116</v>
      </c>
      <c r="BB279">
        <v>1189</v>
      </c>
      <c r="BC279">
        <v>1095</v>
      </c>
      <c r="BD279">
        <v>453</v>
      </c>
      <c r="BE279">
        <v>1189.6414</v>
      </c>
      <c r="BF279">
        <v>1094.83</v>
      </c>
      <c r="BG279">
        <v>459.40109999999999</v>
      </c>
    </row>
    <row r="280" spans="35:59" x14ac:dyDescent="0.3">
      <c r="AI280">
        <v>1190</v>
      </c>
      <c r="AJ280">
        <v>1095</v>
      </c>
      <c r="AK280">
        <v>478</v>
      </c>
      <c r="AL280">
        <v>1188.9186999999999</v>
      </c>
      <c r="AM280">
        <v>1096.0998999999999</v>
      </c>
      <c r="AN280">
        <v>489.64690000000002</v>
      </c>
      <c r="AO280">
        <f t="shared" si="9"/>
        <v>8</v>
      </c>
      <c r="AU280" cm="1">
        <f t="array" ref="AU280">IF($AO280="","", $AL280 - INDEX($AS$2:$AS$11,$AO280))</f>
        <v>43.688360526316046</v>
      </c>
      <c r="AV280" cm="1">
        <f t="array" ref="AV280">IF($AO280="","", $AM280 - INDEX($AT$2:$AT$11,$AO280))</f>
        <v>9.0360526315862444E-2</v>
      </c>
      <c r="AW280">
        <f t="shared" si="10"/>
        <v>3.9477032510350671</v>
      </c>
      <c r="BB280">
        <v>1186</v>
      </c>
      <c r="BC280">
        <v>1093</v>
      </c>
      <c r="BD280">
        <v>467</v>
      </c>
      <c r="BE280">
        <v>1186.0567000000001</v>
      </c>
      <c r="BF280">
        <v>1094.3154</v>
      </c>
      <c r="BG280">
        <v>468.81299999999999</v>
      </c>
    </row>
    <row r="281" spans="35:59" x14ac:dyDescent="0.3">
      <c r="AI281">
        <v>1187</v>
      </c>
      <c r="AJ281">
        <v>1097</v>
      </c>
      <c r="AK281">
        <v>490</v>
      </c>
      <c r="AL281">
        <v>1185.5187000000001</v>
      </c>
      <c r="AM281">
        <v>1095.4566</v>
      </c>
      <c r="AN281">
        <v>497.04750000000001</v>
      </c>
      <c r="AO281">
        <f t="shared" si="9"/>
        <v>8</v>
      </c>
      <c r="AU281" cm="1">
        <f t="array" ref="AU281">IF($AO281="","", $AL281 - INDEX($AS$2:$AS$11,$AO281))</f>
        <v>40.288360526316183</v>
      </c>
      <c r="AV281" cm="1">
        <f t="array" ref="AV281">IF($AO281="","", $AM281 - INDEX($AT$2:$AT$11,$AO281))</f>
        <v>-0.55293947368409135</v>
      </c>
      <c r="AW281">
        <f t="shared" si="10"/>
        <v>-22.277024865016191</v>
      </c>
      <c r="BB281">
        <v>1184</v>
      </c>
      <c r="BC281">
        <v>1092</v>
      </c>
      <c r="BD281">
        <v>493</v>
      </c>
      <c r="BE281">
        <v>1181.2945999999999</v>
      </c>
      <c r="BF281">
        <v>1093.8140000000001</v>
      </c>
      <c r="BG281">
        <v>496.03050000000002</v>
      </c>
    </row>
    <row r="282" spans="35:59" x14ac:dyDescent="0.3">
      <c r="AI282">
        <v>1182</v>
      </c>
      <c r="AJ282">
        <v>1096</v>
      </c>
      <c r="AK282">
        <v>520</v>
      </c>
      <c r="AL282">
        <v>1180.9692</v>
      </c>
      <c r="AM282">
        <v>1094.8277</v>
      </c>
      <c r="AN282">
        <v>521.58929999999998</v>
      </c>
      <c r="AO282">
        <f t="shared" si="9"/>
        <v>8</v>
      </c>
      <c r="AU282" cm="1">
        <f t="array" ref="AU282">IF($AO282="","", $AL282 - INDEX($AS$2:$AS$11,$AO282))</f>
        <v>35.738860526316103</v>
      </c>
      <c r="AV282" cm="1">
        <f t="array" ref="AV282">IF($AO282="","", $AM282 - INDEX($AT$2:$AT$11,$AO282))</f>
        <v>-1.1818394736840219</v>
      </c>
      <c r="AW282">
        <f t="shared" si="10"/>
        <v>-42.237596114488085</v>
      </c>
      <c r="BB282">
        <v>1174</v>
      </c>
      <c r="BC282">
        <v>1093</v>
      </c>
      <c r="BD282">
        <v>534</v>
      </c>
      <c r="BE282">
        <v>1175.492</v>
      </c>
      <c r="BF282">
        <v>1093.3403000000001</v>
      </c>
      <c r="BG282">
        <v>540.2722</v>
      </c>
    </row>
    <row r="283" spans="35:59" x14ac:dyDescent="0.3">
      <c r="AI283">
        <v>1176</v>
      </c>
      <c r="AJ283">
        <v>1093</v>
      </c>
      <c r="AK283">
        <v>561</v>
      </c>
      <c r="AL283">
        <v>1175.4001000000001</v>
      </c>
      <c r="AM283">
        <v>1094.2317</v>
      </c>
      <c r="AN283">
        <v>562.57500000000005</v>
      </c>
      <c r="AO283">
        <f t="shared" si="9"/>
        <v>8</v>
      </c>
      <c r="AU283" cm="1">
        <f t="array" ref="AU283">IF($AO283="","", $AL283 - INDEX($AS$2:$AS$11,$AO283))</f>
        <v>30.169760526316168</v>
      </c>
      <c r="AV283" cm="1">
        <f t="array" ref="AV283">IF($AO283="","", $AM283 - INDEX($AT$2:$AT$11,$AO283))</f>
        <v>-1.7778394736840255</v>
      </c>
      <c r="AW283">
        <f t="shared" si="10"/>
        <v>-53.636991175279022</v>
      </c>
      <c r="BB283">
        <v>1169</v>
      </c>
      <c r="BC283">
        <v>1093</v>
      </c>
      <c r="BD283">
        <v>583</v>
      </c>
      <c r="BE283">
        <v>1168.8154999999999</v>
      </c>
      <c r="BF283">
        <v>1092.9077</v>
      </c>
      <c r="BG283">
        <v>600.2704</v>
      </c>
    </row>
    <row r="284" spans="35:59" x14ac:dyDescent="0.3">
      <c r="AI284">
        <v>1166</v>
      </c>
      <c r="AJ284">
        <v>1095</v>
      </c>
      <c r="AK284">
        <v>611</v>
      </c>
      <c r="AL284">
        <v>1168.9706000000001</v>
      </c>
      <c r="AM284">
        <v>1093.6859999999999</v>
      </c>
      <c r="AN284">
        <v>618.83550000000002</v>
      </c>
      <c r="AO284">
        <f t="shared" si="9"/>
        <v>8</v>
      </c>
      <c r="AU284" cm="1">
        <f t="array" ref="AU284">IF($AO284="","", $AL284 - INDEX($AS$2:$AS$11,$AO284))</f>
        <v>23.740260526316206</v>
      </c>
      <c r="AV284" cm="1">
        <f t="array" ref="AV284">IF($AO284="","", $AM284 - INDEX($AT$2:$AT$11,$AO284))</f>
        <v>-2.3235394736841499</v>
      </c>
      <c r="AW284">
        <f t="shared" si="10"/>
        <v>-55.16143244844136</v>
      </c>
      <c r="BB284">
        <v>1164</v>
      </c>
      <c r="BC284">
        <v>1093</v>
      </c>
      <c r="BD284">
        <v>646</v>
      </c>
      <c r="BE284">
        <v>1161.4567</v>
      </c>
      <c r="BF284">
        <v>1092.5287000000001</v>
      </c>
      <c r="BG284">
        <v>674.30730000000005</v>
      </c>
    </row>
    <row r="285" spans="35:59" x14ac:dyDescent="0.3">
      <c r="AI285">
        <v>1162</v>
      </c>
      <c r="AJ285">
        <v>1093</v>
      </c>
      <c r="AK285">
        <v>674</v>
      </c>
      <c r="AL285">
        <v>1161.8643</v>
      </c>
      <c r="AM285">
        <v>1093.2064</v>
      </c>
      <c r="AN285">
        <v>688.76250000000005</v>
      </c>
      <c r="AO285">
        <f t="shared" si="9"/>
        <v>8</v>
      </c>
      <c r="AU285" cm="1">
        <f t="array" ref="AU285">IF($AO285="","", $AL285 - INDEX($AS$2:$AS$11,$AO285))</f>
        <v>16.633960526316059</v>
      </c>
      <c r="AV285" cm="1">
        <f t="array" ref="AV285">IF($AO285="","", $AM285 - INDEX($AT$2:$AT$11,$AO285))</f>
        <v>-2.8031394736840411</v>
      </c>
      <c r="AW285">
        <f t="shared" si="10"/>
        <v>-46.627311355018712</v>
      </c>
      <c r="BB285">
        <v>1156</v>
      </c>
      <c r="BC285">
        <v>1093</v>
      </c>
      <c r="BD285">
        <v>721</v>
      </c>
      <c r="BE285">
        <v>1153.6268</v>
      </c>
      <c r="BF285">
        <v>1092.2139</v>
      </c>
      <c r="BG285">
        <v>760.26430000000005</v>
      </c>
    </row>
    <row r="286" spans="35:59" x14ac:dyDescent="0.3">
      <c r="AI286">
        <v>1156</v>
      </c>
      <c r="AJ286">
        <v>1092</v>
      </c>
      <c r="AK286">
        <v>747</v>
      </c>
      <c r="AL286">
        <v>1154.2846</v>
      </c>
      <c r="AM286">
        <v>1092.8068000000001</v>
      </c>
      <c r="AN286">
        <v>770.35490000000004</v>
      </c>
      <c r="AO286">
        <f t="shared" si="9"/>
        <v>8</v>
      </c>
      <c r="AU286" cm="1">
        <f t="array" ref="AU286">IF($AO286="","", $AL286 - INDEX($AS$2:$AS$11,$AO286))</f>
        <v>9.0542605263160567</v>
      </c>
      <c r="AV286" cm="1">
        <f t="array" ref="AV286">IF($AO286="","", $AM286 - INDEX($AT$2:$AT$11,$AO286))</f>
        <v>-3.2027394736840051</v>
      </c>
      <c r="AW286">
        <f t="shared" si="10"/>
        <v>-28.998437592651349</v>
      </c>
      <c r="BB286">
        <v>1148</v>
      </c>
      <c r="BC286">
        <v>1092</v>
      </c>
      <c r="BD286">
        <v>812</v>
      </c>
      <c r="BE286">
        <v>1145.5503000000001</v>
      </c>
      <c r="BF286">
        <v>1091.9721999999999</v>
      </c>
      <c r="BG286">
        <v>855.68240000000003</v>
      </c>
    </row>
    <row r="287" spans="35:59" x14ac:dyDescent="0.3">
      <c r="AI287">
        <v>1147</v>
      </c>
      <c r="AJ287">
        <v>1090</v>
      </c>
      <c r="AK287">
        <v>830</v>
      </c>
      <c r="AL287">
        <v>1146.4481000000001</v>
      </c>
      <c r="AM287">
        <v>1092.4985999999999</v>
      </c>
      <c r="AN287">
        <v>861.27560000000005</v>
      </c>
      <c r="AO287">
        <f t="shared" si="9"/>
        <v>8</v>
      </c>
      <c r="AU287" cm="1">
        <f t="array" ref="AU287">IF($AO287="","", $AL287 - INDEX($AS$2:$AS$11,$AO287))</f>
        <v>1.2177605263161695</v>
      </c>
      <c r="AV287" cm="1">
        <f t="array" ref="AV287">IF($AO287="","", $AM287 - INDEX($AT$2:$AT$11,$AO287))</f>
        <v>-3.510939473684175</v>
      </c>
      <c r="AW287">
        <f t="shared" si="10"/>
        <v>-4.275483501337856</v>
      </c>
      <c r="BB287">
        <v>1141</v>
      </c>
      <c r="BC287">
        <v>1092</v>
      </c>
      <c r="BD287">
        <v>906</v>
      </c>
      <c r="BE287">
        <v>1137.4590000000001</v>
      </c>
      <c r="BF287">
        <v>1091.8101999999999</v>
      </c>
      <c r="BG287">
        <v>957.83270000000005</v>
      </c>
    </row>
    <row r="288" spans="35:59" x14ac:dyDescent="0.3">
      <c r="AI288">
        <v>1139</v>
      </c>
      <c r="AJ288">
        <v>1091</v>
      </c>
      <c r="AK288">
        <v>920</v>
      </c>
      <c r="AL288">
        <v>1138.5790999999999</v>
      </c>
      <c r="AM288">
        <v>1092.2904000000001</v>
      </c>
      <c r="AN288">
        <v>958.91890000000001</v>
      </c>
      <c r="AO288">
        <f t="shared" si="9"/>
        <v>8</v>
      </c>
      <c r="AU288" cm="1">
        <f t="array" ref="AU288">IF($AO288="","", $AL288 - INDEX($AS$2:$AS$11,$AO288))</f>
        <v>-6.6512394736839724</v>
      </c>
      <c r="AV288" cm="1">
        <f t="array" ref="AV288">IF($AO288="","", $AM288 - INDEX($AT$2:$AT$11,$AO288))</f>
        <v>-3.7191394736839811</v>
      </c>
      <c r="AW288">
        <f t="shared" si="10"/>
        <v>24.736887275503129</v>
      </c>
      <c r="BB288">
        <v>1129</v>
      </c>
      <c r="BC288">
        <v>1092</v>
      </c>
      <c r="BD288">
        <v>1010</v>
      </c>
      <c r="BE288">
        <v>1129.5848000000001</v>
      </c>
      <c r="BF288">
        <v>1091.7324000000001</v>
      </c>
      <c r="BG288">
        <v>1063.7945</v>
      </c>
    </row>
    <row r="289" spans="35:59" x14ac:dyDescent="0.3">
      <c r="AI289">
        <v>1133</v>
      </c>
      <c r="AJ289">
        <v>1091</v>
      </c>
      <c r="AK289">
        <v>1021</v>
      </c>
      <c r="AL289">
        <v>1130.9029</v>
      </c>
      <c r="AM289">
        <v>1092.1878999999999</v>
      </c>
      <c r="AN289">
        <v>1060.4845</v>
      </c>
      <c r="AO289">
        <f t="shared" si="9"/>
        <v>8</v>
      </c>
      <c r="AU289" cm="1">
        <f t="array" ref="AU289">IF($AO289="","", $AL289 - INDEX($AS$2:$AS$11,$AO289))</f>
        <v>-14.327439473683853</v>
      </c>
      <c r="AV289" cm="1">
        <f t="array" ref="AV289">IF($AO289="","", $AM289 - INDEX($AT$2:$AT$11,$AO289))</f>
        <v>-3.8216394736841721</v>
      </c>
      <c r="AW289">
        <f t="shared" si="10"/>
        <v>54.754308249450993</v>
      </c>
      <c r="BB289">
        <v>1111</v>
      </c>
      <c r="BC289">
        <v>1080</v>
      </c>
      <c r="BD289">
        <v>1236</v>
      </c>
      <c r="BE289">
        <v>1122.1537000000001</v>
      </c>
      <c r="BF289">
        <v>1091.7406000000001</v>
      </c>
      <c r="BG289">
        <v>1170.5387000000001</v>
      </c>
    </row>
    <row r="290" spans="35:59" x14ac:dyDescent="0.3">
      <c r="AI290">
        <v>1128</v>
      </c>
      <c r="AJ290">
        <v>1091</v>
      </c>
      <c r="AK290">
        <v>1122</v>
      </c>
      <c r="AL290">
        <v>1123.6389999999999</v>
      </c>
      <c r="AM290">
        <v>1092.1939</v>
      </c>
      <c r="AN290">
        <v>1163.0581999999999</v>
      </c>
      <c r="AO290">
        <f t="shared" si="9"/>
        <v>8</v>
      </c>
      <c r="AU290" cm="1">
        <f t="array" ref="AU290">IF($AO290="","", $AL290 - INDEX($AS$2:$AS$11,$AO290))</f>
        <v>-21.591339473684002</v>
      </c>
      <c r="AV290" cm="1">
        <f t="array" ref="AV290">IF($AO290="","", $AM290 - INDEX($AT$2:$AT$11,$AO290))</f>
        <v>-3.8156394736840866</v>
      </c>
      <c r="AW290">
        <f t="shared" si="10"/>
        <v>82.384767185502071</v>
      </c>
      <c r="BB290">
        <v>1113</v>
      </c>
      <c r="BC290">
        <v>1090</v>
      </c>
      <c r="BD290">
        <v>1292</v>
      </c>
      <c r="BE290">
        <v>1115.3787</v>
      </c>
      <c r="BF290">
        <v>1091.8344</v>
      </c>
      <c r="BG290">
        <v>1275.0146</v>
      </c>
    </row>
    <row r="291" spans="35:59" x14ac:dyDescent="0.3">
      <c r="AI291">
        <v>1114</v>
      </c>
      <c r="AJ291">
        <v>1091</v>
      </c>
      <c r="AK291">
        <v>1283</v>
      </c>
      <c r="AL291">
        <v>1116.9955</v>
      </c>
      <c r="AM291">
        <v>1092.3077000000001</v>
      </c>
      <c r="AN291">
        <v>1263.6952000000001</v>
      </c>
      <c r="AO291">
        <f t="shared" si="9"/>
        <v>8</v>
      </c>
      <c r="AU291" cm="1">
        <f t="array" ref="AU291">IF($AO291="","", $AL291 - INDEX($AS$2:$AS$11,$AO291))</f>
        <v>-28.234839473683905</v>
      </c>
      <c r="AV291" cm="1">
        <f t="array" ref="AV291">IF($AO291="","", $AM291 - INDEX($AT$2:$AT$11,$AO291))</f>
        <v>-3.7018394736840037</v>
      </c>
      <c r="AW291">
        <f t="shared" si="10"/>
        <v>104.52084329681436</v>
      </c>
      <c r="BB291">
        <v>1105</v>
      </c>
      <c r="BC291">
        <v>1092</v>
      </c>
      <c r="BD291">
        <v>1408</v>
      </c>
      <c r="BE291">
        <v>1109.4543000000001</v>
      </c>
      <c r="BF291">
        <v>1092.0107</v>
      </c>
      <c r="BG291">
        <v>1374.2366999999999</v>
      </c>
    </row>
    <row r="292" spans="35:59" x14ac:dyDescent="0.3">
      <c r="AI292">
        <v>1107</v>
      </c>
      <c r="AJ292">
        <v>1091</v>
      </c>
      <c r="AK292">
        <v>1400</v>
      </c>
      <c r="AL292">
        <v>1111.1627000000001</v>
      </c>
      <c r="AM292">
        <v>1092.5255999999999</v>
      </c>
      <c r="AN292">
        <v>1359.5045</v>
      </c>
      <c r="AO292">
        <f t="shared" si="9"/>
        <v>8</v>
      </c>
      <c r="AU292" cm="1">
        <f t="array" ref="AU292">IF($AO292="","", $AL292 - INDEX($AS$2:$AS$11,$AO292))</f>
        <v>-34.067639473683812</v>
      </c>
      <c r="AV292" cm="1">
        <f t="array" ref="AV292">IF($AO292="","", $AM292 - INDEX($AT$2:$AT$11,$AO292))</f>
        <v>-3.4839394736841314</v>
      </c>
      <c r="AW292">
        <f t="shared" si="10"/>
        <v>118.68959393760672</v>
      </c>
      <c r="BB292">
        <v>1103</v>
      </c>
      <c r="BC292">
        <v>1092</v>
      </c>
      <c r="BD292">
        <v>1496</v>
      </c>
      <c r="BE292">
        <v>1104.5504000000001</v>
      </c>
      <c r="BF292">
        <v>1092.2639999999999</v>
      </c>
      <c r="BG292">
        <v>1465.3705</v>
      </c>
    </row>
    <row r="293" spans="35:59" x14ac:dyDescent="0.3">
      <c r="AI293">
        <v>1100</v>
      </c>
      <c r="AJ293">
        <v>1091</v>
      </c>
      <c r="AK293">
        <v>1494</v>
      </c>
      <c r="AL293">
        <v>1106.3078</v>
      </c>
      <c r="AM293">
        <v>1092.8409999999999</v>
      </c>
      <c r="AN293">
        <v>1447.732</v>
      </c>
      <c r="AO293">
        <f t="shared" si="9"/>
        <v>8</v>
      </c>
      <c r="AU293" cm="1">
        <f t="array" ref="AU293">IF($AO293="","", $AL293 - INDEX($AS$2:$AS$11,$AO293))</f>
        <v>-38.922539473683855</v>
      </c>
      <c r="AV293" cm="1">
        <f t="array" ref="AV293">IF($AO293="","", $AM293 - INDEX($AT$2:$AT$11,$AO293))</f>
        <v>-3.1685394736841772</v>
      </c>
      <c r="AW293">
        <f t="shared" si="10"/>
        <v>123.32760273839786</v>
      </c>
      <c r="BB293">
        <v>1101</v>
      </c>
      <c r="BC293">
        <v>1093</v>
      </c>
      <c r="BD293">
        <v>1573</v>
      </c>
      <c r="BE293">
        <v>1100.8078</v>
      </c>
      <c r="BF293">
        <v>1092.5867000000001</v>
      </c>
      <c r="BG293">
        <v>1545.8130000000001</v>
      </c>
    </row>
    <row r="294" spans="35:59" x14ac:dyDescent="0.3">
      <c r="AI294">
        <v>1099</v>
      </c>
      <c r="AJ294">
        <v>1093</v>
      </c>
      <c r="AK294">
        <v>1560</v>
      </c>
      <c r="AL294">
        <v>1102.5700999999999</v>
      </c>
      <c r="AM294">
        <v>1093.2442000000001</v>
      </c>
      <c r="AN294">
        <v>1525.8391999999999</v>
      </c>
      <c r="AO294">
        <f t="shared" si="9"/>
        <v>8</v>
      </c>
      <c r="AU294" cm="1">
        <f t="array" ref="AU294">IF($AO294="","", $AL294 - INDEX($AS$2:$AS$11,$AO294))</f>
        <v>-42.660239473683987</v>
      </c>
      <c r="AV294" cm="1">
        <f t="array" ref="AV294">IF($AO294="","", $AM294 - INDEX($AT$2:$AT$11,$AO294))</f>
        <v>-2.76533947368398</v>
      </c>
      <c r="AW294">
        <f t="shared" si="10"/>
        <v>117.97004417338982</v>
      </c>
      <c r="BB294">
        <v>1098</v>
      </c>
      <c r="BC294">
        <v>1094</v>
      </c>
      <c r="BD294">
        <v>1647</v>
      </c>
      <c r="BE294">
        <v>1098.3341</v>
      </c>
      <c r="BF294">
        <v>1092.9690000000001</v>
      </c>
      <c r="BG294">
        <v>1613.2677000000001</v>
      </c>
    </row>
    <row r="295" spans="35:59" x14ac:dyDescent="0.3">
      <c r="AI295">
        <v>1098</v>
      </c>
      <c r="AJ295">
        <v>1094</v>
      </c>
      <c r="AK295">
        <v>1630</v>
      </c>
      <c r="AL295">
        <v>1100.0568000000001</v>
      </c>
      <c r="AM295">
        <v>1093.7233000000001</v>
      </c>
      <c r="AN295">
        <v>1591.5764999999999</v>
      </c>
      <c r="AO295">
        <f t="shared" si="9"/>
        <v>8</v>
      </c>
      <c r="AU295" cm="1">
        <f t="array" ref="AU295">IF($AO295="","", $AL295 - INDEX($AS$2:$AS$11,$AO295))</f>
        <v>-45.173539473683832</v>
      </c>
      <c r="AV295" cm="1">
        <f t="array" ref="AV295">IF($AO295="","", $AM295 - INDEX($AT$2:$AT$11,$AO295))</f>
        <v>-2.2862394736839633</v>
      </c>
      <c r="AW295">
        <f t="shared" si="10"/>
        <v>103.27752911075666</v>
      </c>
      <c r="BB295">
        <v>1095</v>
      </c>
      <c r="BC295">
        <v>1093</v>
      </c>
      <c r="BD295">
        <v>1703</v>
      </c>
      <c r="BE295">
        <v>1097.2004999999999</v>
      </c>
      <c r="BF295">
        <v>1093.3996999999999</v>
      </c>
      <c r="BG295">
        <v>1665.8095000000001</v>
      </c>
    </row>
    <row r="296" spans="35:59" x14ac:dyDescent="0.3">
      <c r="AI296">
        <v>1097</v>
      </c>
      <c r="AJ296">
        <v>1093</v>
      </c>
      <c r="AK296">
        <v>1680</v>
      </c>
      <c r="AL296">
        <v>1098.8404</v>
      </c>
      <c r="AM296">
        <v>1094.2639999999999</v>
      </c>
      <c r="AN296">
        <v>1643.0473999999999</v>
      </c>
      <c r="AO296">
        <f t="shared" si="9"/>
        <v>8</v>
      </c>
      <c r="AU296" cm="1">
        <f t="array" ref="AU296">IF($AO296="","", $AL296 - INDEX($AS$2:$AS$11,$AO296))</f>
        <v>-46.389939473683853</v>
      </c>
      <c r="AV296" cm="1">
        <f t="array" ref="AV296">IF($AO296="","", $AM296 - INDEX($AT$2:$AT$11,$AO296))</f>
        <v>-1.7455394736841754</v>
      </c>
      <c r="AW296">
        <f t="shared" si="10"/>
        <v>80.975470533134867</v>
      </c>
      <c r="BB296">
        <v>1097</v>
      </c>
      <c r="BC296">
        <v>1093</v>
      </c>
      <c r="BD296">
        <v>1730</v>
      </c>
      <c r="BE296">
        <v>1097.4398000000001</v>
      </c>
      <c r="BF296">
        <v>1093.8658</v>
      </c>
      <c r="BG296">
        <v>1701.9399000000001</v>
      </c>
    </row>
    <row r="297" spans="35:59" x14ac:dyDescent="0.3">
      <c r="AI297">
        <v>1097</v>
      </c>
      <c r="AJ297">
        <v>1096</v>
      </c>
      <c r="AK297">
        <v>1712</v>
      </c>
      <c r="AL297">
        <v>1098.9559999999999</v>
      </c>
      <c r="AM297">
        <v>1094.8505</v>
      </c>
      <c r="AN297">
        <v>1678.7632000000001</v>
      </c>
      <c r="AO297">
        <f t="shared" si="9"/>
        <v>8</v>
      </c>
      <c r="AU297" cm="1">
        <f t="array" ref="AU297">IF($AO297="","", $AL297 - INDEX($AS$2:$AS$11,$AO297))</f>
        <v>-46.274339473683995</v>
      </c>
      <c r="AV297" cm="1">
        <f t="array" ref="AV297">IF($AO297="","", $AM297 - INDEX($AT$2:$AT$11,$AO297))</f>
        <v>-1.1590394736840608</v>
      </c>
      <c r="AW297">
        <f t="shared" si="10"/>
        <v>53.633786068656256</v>
      </c>
      <c r="BB297">
        <v>1095</v>
      </c>
      <c r="BC297">
        <v>1095</v>
      </c>
      <c r="BD297">
        <v>1738</v>
      </c>
      <c r="BE297">
        <v>1099.0455999999999</v>
      </c>
      <c r="BF297">
        <v>1094.3534999999999</v>
      </c>
      <c r="BG297">
        <v>1720.6301000000001</v>
      </c>
    </row>
    <row r="298" spans="35:59" x14ac:dyDescent="0.3">
      <c r="AI298">
        <v>1099</v>
      </c>
      <c r="AJ298">
        <v>1096</v>
      </c>
      <c r="AK298">
        <v>1722</v>
      </c>
      <c r="AL298">
        <v>1100.4009000000001</v>
      </c>
      <c r="AM298">
        <v>1095.4657</v>
      </c>
      <c r="AN298">
        <v>1697.6858999999999</v>
      </c>
      <c r="AO298">
        <f t="shared" si="9"/>
        <v>8</v>
      </c>
      <c r="AU298" cm="1">
        <f t="array" ref="AU298">IF($AO298="","", $AL298 - INDEX($AS$2:$AS$11,$AO298))</f>
        <v>-44.829439473683806</v>
      </c>
      <c r="AV298" cm="1">
        <f t="array" ref="AV298">IF($AO298="","", $AM298 - INDEX($AT$2:$AT$11,$AO298))</f>
        <v>-0.5438394736841019</v>
      </c>
      <c r="AW298">
        <f t="shared" si="10"/>
        <v>24.380018768921502</v>
      </c>
      <c r="BB298">
        <v>1101</v>
      </c>
      <c r="BC298">
        <v>1094</v>
      </c>
      <c r="BD298">
        <v>1724</v>
      </c>
      <c r="BE298">
        <v>1101.9722999999999</v>
      </c>
      <c r="BF298">
        <v>1094.8483000000001</v>
      </c>
      <c r="BG298">
        <v>1721.3497</v>
      </c>
    </row>
    <row r="299" spans="35:59" x14ac:dyDescent="0.3">
      <c r="AI299">
        <v>1105</v>
      </c>
      <c r="AJ299">
        <v>1096</v>
      </c>
      <c r="AK299">
        <v>1707</v>
      </c>
      <c r="AL299">
        <v>1103.1342999999999</v>
      </c>
      <c r="AM299">
        <v>1096.0916</v>
      </c>
      <c r="AN299">
        <v>1699.2578000000001</v>
      </c>
      <c r="AO299">
        <f t="shared" si="9"/>
        <v>8</v>
      </c>
      <c r="AU299" cm="1">
        <f t="array" ref="AU299">IF($AO299="","", $AL299 - INDEX($AS$2:$AS$11,$AO299))</f>
        <v>-42.096039473683959</v>
      </c>
      <c r="AV299" cm="1">
        <f t="array" ref="AV299">IF($AO299="","", $AM299 - INDEX($AT$2:$AT$11,$AO299))</f>
        <v>8.2060526315899551E-2</v>
      </c>
      <c r="AW299">
        <f t="shared" si="10"/>
        <v>-3.4544231550253888</v>
      </c>
      <c r="BB299">
        <v>1106</v>
      </c>
      <c r="BC299">
        <v>1095</v>
      </c>
      <c r="BD299">
        <v>1693</v>
      </c>
      <c r="BE299">
        <v>1106.1367</v>
      </c>
      <c r="BF299">
        <v>1095.3354999999999</v>
      </c>
      <c r="BG299">
        <v>1704.0822000000001</v>
      </c>
    </row>
    <row r="300" spans="35:59" x14ac:dyDescent="0.3">
      <c r="AI300">
        <v>1106</v>
      </c>
      <c r="AJ300">
        <v>1097</v>
      </c>
      <c r="AK300">
        <v>1678</v>
      </c>
      <c r="AL300">
        <v>1107.0784000000001</v>
      </c>
      <c r="AM300">
        <v>1096.71</v>
      </c>
      <c r="AN300">
        <v>1683.4181000000001</v>
      </c>
      <c r="AO300">
        <f t="shared" si="9"/>
        <v>8</v>
      </c>
      <c r="AU300" cm="1">
        <f t="array" ref="AU300">IF($AO300="","", $AL300 - INDEX($AS$2:$AS$11,$AO300))</f>
        <v>-38.151939473683797</v>
      </c>
      <c r="AV300" cm="1">
        <f t="array" ref="AV300">IF($AO300="","", $AM300 - INDEX($AT$2:$AT$11,$AO300))</f>
        <v>0.70046052631596467</v>
      </c>
      <c r="AW300">
        <f t="shared" si="10"/>
        <v>-26.723927603711381</v>
      </c>
      <c r="BB300">
        <v>1112</v>
      </c>
      <c r="BC300">
        <v>1095</v>
      </c>
      <c r="BD300">
        <v>1650</v>
      </c>
      <c r="BE300">
        <v>1111.4197999999999</v>
      </c>
      <c r="BF300">
        <v>1095.8007</v>
      </c>
      <c r="BG300">
        <v>1669.325</v>
      </c>
    </row>
    <row r="301" spans="35:59" x14ac:dyDescent="0.3">
      <c r="AI301">
        <v>1111</v>
      </c>
      <c r="AJ301">
        <v>1096</v>
      </c>
      <c r="AK301">
        <v>1630</v>
      </c>
      <c r="AL301">
        <v>1112.1208999999999</v>
      </c>
      <c r="AM301">
        <v>1097.3033</v>
      </c>
      <c r="AN301">
        <v>1650.6044999999999</v>
      </c>
      <c r="AO301">
        <f t="shared" si="9"/>
        <v>8</v>
      </c>
      <c r="AU301" cm="1">
        <f t="array" ref="AU301">IF($AO301="","", $AL301 - INDEX($AS$2:$AS$11,$AO301))</f>
        <v>-33.109439473684006</v>
      </c>
      <c r="AV301" cm="1">
        <f t="array" ref="AV301">IF($AO301="","", $AM301 - INDEX($AT$2:$AT$11,$AO301))</f>
        <v>1.2937605263159639</v>
      </c>
      <c r="AW301">
        <f t="shared" si="10"/>
        <v>-42.835685839499973</v>
      </c>
      <c r="BB301">
        <v>1117</v>
      </c>
      <c r="BC301">
        <v>1098</v>
      </c>
      <c r="BD301">
        <v>1600</v>
      </c>
      <c r="BE301">
        <v>1117.6709000000001</v>
      </c>
      <c r="BF301">
        <v>1096.23</v>
      </c>
      <c r="BG301">
        <v>1618.0755999999999</v>
      </c>
    </row>
    <row r="302" spans="35:59" x14ac:dyDescent="0.3">
      <c r="AI302">
        <v>1118</v>
      </c>
      <c r="AJ302">
        <v>1097</v>
      </c>
      <c r="AK302">
        <v>1578</v>
      </c>
      <c r="AL302">
        <v>1118.1179999999999</v>
      </c>
      <c r="AM302">
        <v>1097.8543</v>
      </c>
      <c r="AN302">
        <v>1601.7407000000001</v>
      </c>
      <c r="AO302">
        <f t="shared" si="9"/>
        <v>8</v>
      </c>
      <c r="AU302" cm="1">
        <f t="array" ref="AU302">IF($AO302="","", $AL302 - INDEX($AS$2:$AS$11,$AO302))</f>
        <v>-27.11233947368396</v>
      </c>
      <c r="AV302" cm="1">
        <f t="array" ref="AV302">IF($AO302="","", $AM302 - INDEX($AT$2:$AT$11,$AO302))</f>
        <v>1.8447605263158948</v>
      </c>
      <c r="AW302">
        <f t="shared" si="10"/>
        <v>-50.015773637128433</v>
      </c>
      <c r="BB302">
        <v>1124</v>
      </c>
      <c r="BC302">
        <v>1095</v>
      </c>
      <c r="BD302">
        <v>1533</v>
      </c>
      <c r="BE302">
        <v>1124.7114999999999</v>
      </c>
      <c r="BF302">
        <v>1096.6105</v>
      </c>
      <c r="BG302">
        <v>1551.8023000000001</v>
      </c>
    </row>
    <row r="303" spans="35:59" x14ac:dyDescent="0.3">
      <c r="AI303">
        <v>1123</v>
      </c>
      <c r="AJ303">
        <v>1098</v>
      </c>
      <c r="AK303">
        <v>1515</v>
      </c>
      <c r="AL303">
        <v>1124.8987</v>
      </c>
      <c r="AM303">
        <v>1098.3474000000001</v>
      </c>
      <c r="AN303">
        <v>1538.2106000000001</v>
      </c>
      <c r="AO303">
        <f t="shared" si="9"/>
        <v>8</v>
      </c>
      <c r="AU303" cm="1">
        <f t="array" ref="AU303">IF($AO303="","", $AL303 - INDEX($AS$2:$AS$11,$AO303))</f>
        <v>-20.331639473683936</v>
      </c>
      <c r="AV303" cm="1">
        <f t="array" ref="AV303">IF($AO303="","", $AM303 - INDEX($AT$2:$AT$11,$AO303))</f>
        <v>2.3378605263160352</v>
      </c>
      <c r="AW303">
        <f t="shared" si="10"/>
        <v>-47.532537360814601</v>
      </c>
      <c r="BB303">
        <v>1134</v>
      </c>
      <c r="BC303">
        <v>1098</v>
      </c>
      <c r="BD303">
        <v>1460</v>
      </c>
      <c r="BE303">
        <v>1132.3405</v>
      </c>
      <c r="BF303">
        <v>1096.9309000000001</v>
      </c>
      <c r="BG303">
        <v>1472.4027000000001</v>
      </c>
    </row>
    <row r="304" spans="35:59" x14ac:dyDescent="0.3">
      <c r="AI304">
        <v>1131</v>
      </c>
      <c r="AJ304">
        <v>1098</v>
      </c>
      <c r="AK304">
        <v>1443</v>
      </c>
      <c r="AL304">
        <v>1132.2695000000001</v>
      </c>
      <c r="AM304">
        <v>1098.7684999999999</v>
      </c>
      <c r="AN304">
        <v>1461.8182999999999</v>
      </c>
      <c r="AO304">
        <f t="shared" si="9"/>
        <v>8</v>
      </c>
      <c r="AU304" cm="1">
        <f t="array" ref="AU304">IF($AO304="","", $AL304 - INDEX($AS$2:$AS$11,$AO304))</f>
        <v>-12.960839473683791</v>
      </c>
      <c r="AV304" cm="1">
        <f t="array" ref="AV304">IF($AO304="","", $AM304 - INDEX($AT$2:$AT$11,$AO304))</f>
        <v>2.7589605263158319</v>
      </c>
      <c r="AW304">
        <f t="shared" si="10"/>
        <v>-35.758444495809641</v>
      </c>
      <c r="BB304">
        <v>1140</v>
      </c>
      <c r="BC304">
        <v>1098</v>
      </c>
      <c r="BD304">
        <v>1372</v>
      </c>
      <c r="BE304">
        <v>1140.3400999999999</v>
      </c>
      <c r="BF304">
        <v>1097.1814999999999</v>
      </c>
      <c r="BG304">
        <v>1382.1488999999999</v>
      </c>
    </row>
    <row r="305" spans="35:59" x14ac:dyDescent="0.3">
      <c r="AI305">
        <v>1142</v>
      </c>
      <c r="AJ305">
        <v>1098</v>
      </c>
      <c r="AK305">
        <v>1362</v>
      </c>
      <c r="AL305">
        <v>1140.02</v>
      </c>
      <c r="AM305">
        <v>1099.106</v>
      </c>
      <c r="AN305">
        <v>1374.7367999999999</v>
      </c>
      <c r="AO305">
        <f t="shared" si="9"/>
        <v>8</v>
      </c>
      <c r="AU305" cm="1">
        <f t="array" ref="AU305">IF($AO305="","", $AL305 - INDEX($AS$2:$AS$11,$AO305))</f>
        <v>-5.2103394736839164</v>
      </c>
      <c r="AV305" cm="1">
        <f t="array" ref="AV305">IF($AO305="","", $AM305 - INDEX($AT$2:$AT$11,$AO305))</f>
        <v>3.0964605263159228</v>
      </c>
      <c r="AW305">
        <f t="shared" si="10"/>
        <v>-16.133610508967926</v>
      </c>
      <c r="BB305">
        <v>1147</v>
      </c>
      <c r="BC305">
        <v>1098</v>
      </c>
      <c r="BD305">
        <v>1273</v>
      </c>
      <c r="BE305">
        <v>1148.4816000000001</v>
      </c>
      <c r="BF305">
        <v>1097.3545999999999</v>
      </c>
      <c r="BG305">
        <v>1283.6226999999999</v>
      </c>
    </row>
    <row r="306" spans="35:59" x14ac:dyDescent="0.3">
      <c r="AI306">
        <v>1146</v>
      </c>
      <c r="AJ306">
        <v>1098</v>
      </c>
      <c r="AK306">
        <v>1270</v>
      </c>
      <c r="AL306">
        <v>1147.9287999999999</v>
      </c>
      <c r="AM306">
        <v>1099.3504</v>
      </c>
      <c r="AN306">
        <v>1279.4455</v>
      </c>
      <c r="AO306">
        <f t="shared" si="9"/>
        <v>9</v>
      </c>
      <c r="AU306" cm="1">
        <f t="array" ref="AU306">IF($AO306="","", $AL306 - INDEX($AS$2:$AS$11,$AO306))</f>
        <v>2.1735447368421319</v>
      </c>
      <c r="AV306" cm="1">
        <f t="array" ref="AV306">IF($AO306="","", $AM306 - INDEX($AT$2:$AT$11,$AO306))</f>
        <v>3.3617763157892568</v>
      </c>
      <c r="AW306">
        <f t="shared" si="10"/>
        <v>7.3069712176242723</v>
      </c>
      <c r="BB306">
        <v>1157</v>
      </c>
      <c r="BC306">
        <v>1098</v>
      </c>
      <c r="BD306">
        <v>1173</v>
      </c>
      <c r="BE306">
        <v>1156.5325</v>
      </c>
      <c r="BF306">
        <v>1097.4449</v>
      </c>
      <c r="BG306">
        <v>1179.6419000000001</v>
      </c>
    </row>
    <row r="307" spans="35:59" x14ac:dyDescent="0.3">
      <c r="AI307">
        <v>1155</v>
      </c>
      <c r="AJ307">
        <v>1099</v>
      </c>
      <c r="AK307">
        <v>1175</v>
      </c>
      <c r="AL307">
        <v>1155.7701999999999</v>
      </c>
      <c r="AM307">
        <v>1099.4951000000001</v>
      </c>
      <c r="AN307">
        <v>1178.6597999999999</v>
      </c>
      <c r="AO307">
        <f t="shared" si="9"/>
        <v>9</v>
      </c>
      <c r="AU307" cm="1">
        <f t="array" ref="AU307">IF($AO307="","", $AL307 - INDEX($AS$2:$AS$11,$AO307))</f>
        <v>10.014944736842153</v>
      </c>
      <c r="AV307" cm="1">
        <f t="array" ref="AV307">IF($AO307="","", $AM307 - INDEX($AT$2:$AT$11,$AO307))</f>
        <v>3.506476315789314</v>
      </c>
      <c r="AW307">
        <f t="shared" si="10"/>
        <v>35.117166523675856</v>
      </c>
      <c r="BB307">
        <v>1161</v>
      </c>
      <c r="BC307">
        <v>1095</v>
      </c>
      <c r="BD307">
        <v>1075</v>
      </c>
      <c r="BE307">
        <v>1164.2628999999999</v>
      </c>
      <c r="BF307">
        <v>1097.4494999999999</v>
      </c>
      <c r="BG307">
        <v>1073.1792</v>
      </c>
    </row>
    <row r="308" spans="35:59" x14ac:dyDescent="0.3">
      <c r="AI308">
        <v>1163</v>
      </c>
      <c r="AJ308">
        <v>1098</v>
      </c>
      <c r="AK308">
        <v>1074</v>
      </c>
      <c r="AL308">
        <v>1163.3202000000001</v>
      </c>
      <c r="AM308">
        <v>1099.5364</v>
      </c>
      <c r="AN308">
        <v>1075.2530999999999</v>
      </c>
      <c r="AO308">
        <f t="shared" si="9"/>
        <v>9</v>
      </c>
      <c r="AU308" cm="1">
        <f t="array" ref="AU308">IF($AO308="","", $AL308 - INDEX($AS$2:$AS$11,$AO308))</f>
        <v>17.564944736842335</v>
      </c>
      <c r="AV308" cm="1">
        <f t="array" ref="AV308">IF($AO308="","", $AM308 - INDEX($AT$2:$AT$11,$AO308))</f>
        <v>3.5477763157891786</v>
      </c>
      <c r="AW308">
        <f t="shared" si="10"/>
        <v>62.316494925515023</v>
      </c>
      <c r="BB308">
        <v>1172</v>
      </c>
      <c r="BC308">
        <v>1085</v>
      </c>
      <c r="BD308">
        <v>957</v>
      </c>
      <c r="BE308">
        <v>1171.452</v>
      </c>
      <c r="BF308">
        <v>1097.3678</v>
      </c>
      <c r="BG308">
        <v>967.27760000000001</v>
      </c>
    </row>
    <row r="309" spans="35:59" x14ac:dyDescent="0.3">
      <c r="AI309">
        <v>1171</v>
      </c>
      <c r="AJ309">
        <v>1098</v>
      </c>
      <c r="AK309">
        <v>979</v>
      </c>
      <c r="AL309">
        <v>1170.3633</v>
      </c>
      <c r="AM309">
        <v>1099.4735000000001</v>
      </c>
      <c r="AN309">
        <v>972.17449999999997</v>
      </c>
      <c r="AO309">
        <f t="shared" si="9"/>
        <v>9</v>
      </c>
      <c r="AU309" cm="1">
        <f t="array" ref="AU309">IF($AO309="","", $AL309 - INDEX($AS$2:$AS$11,$AO309))</f>
        <v>24.608044736842203</v>
      </c>
      <c r="AV309" cm="1">
        <f t="array" ref="AV309">IF($AO309="","", $AM309 - INDEX($AT$2:$AT$11,$AO309))</f>
        <v>3.484876315789279</v>
      </c>
      <c r="AW309">
        <f t="shared" si="10"/>
        <v>85.755992281304415</v>
      </c>
      <c r="BB309">
        <v>1175</v>
      </c>
      <c r="BC309">
        <v>1097</v>
      </c>
      <c r="BD309">
        <v>887</v>
      </c>
      <c r="BE309">
        <v>1177.8945000000001</v>
      </c>
      <c r="BF309">
        <v>1097.2021</v>
      </c>
      <c r="BG309">
        <v>864.9633</v>
      </c>
    </row>
    <row r="310" spans="35:59" x14ac:dyDescent="0.3">
      <c r="AI310">
        <v>1176</v>
      </c>
      <c r="AJ310">
        <v>1098</v>
      </c>
      <c r="AK310">
        <v>898</v>
      </c>
      <c r="AL310">
        <v>1176.6984</v>
      </c>
      <c r="AM310">
        <v>1099.3086000000001</v>
      </c>
      <c r="AN310">
        <v>872.36440000000005</v>
      </c>
      <c r="AO310">
        <f t="shared" si="9"/>
        <v>9</v>
      </c>
      <c r="AU310" cm="1">
        <f t="array" ref="AU310">IF($AO310="","", $AL310 - INDEX($AS$2:$AS$11,$AO310))</f>
        <v>30.943144736842214</v>
      </c>
      <c r="AV310" cm="1">
        <f t="array" ref="AV310">IF($AO310="","", $AM310 - INDEX($AT$2:$AT$11,$AO310))</f>
        <v>3.3199763157892903</v>
      </c>
      <c r="AW310">
        <f t="shared" si="10"/>
        <v>102.73050766235619</v>
      </c>
      <c r="BB310">
        <v>1180</v>
      </c>
      <c r="BC310">
        <v>1096</v>
      </c>
      <c r="BD310">
        <v>778</v>
      </c>
      <c r="BE310">
        <v>1183.4065000000001</v>
      </c>
      <c r="BF310">
        <v>1096.9568999999999</v>
      </c>
      <c r="BG310">
        <v>769.15899999999999</v>
      </c>
    </row>
    <row r="311" spans="35:59" x14ac:dyDescent="0.3">
      <c r="AI311">
        <v>1182</v>
      </c>
      <c r="AJ311">
        <v>1098</v>
      </c>
      <c r="AK311">
        <v>783</v>
      </c>
      <c r="AL311">
        <v>1182.1445000000001</v>
      </c>
      <c r="AM311">
        <v>1099.0469000000001</v>
      </c>
      <c r="AN311">
        <v>778.67049999999995</v>
      </c>
      <c r="AO311">
        <f t="shared" si="9"/>
        <v>9</v>
      </c>
      <c r="AU311" cm="1">
        <f t="array" ref="AU311">IF($AO311="","", $AL311 - INDEX($AS$2:$AS$11,$AO311))</f>
        <v>36.389244736842329</v>
      </c>
      <c r="AV311" cm="1">
        <f t="array" ref="AV311">IF($AO311="","", $AM311 - INDEX($AT$2:$AT$11,$AO311))</f>
        <v>3.0582763157892714</v>
      </c>
      <c r="AW311">
        <f t="shared" si="10"/>
        <v>111.28836532814429</v>
      </c>
      <c r="BB311">
        <v>1185</v>
      </c>
      <c r="BC311">
        <v>1098</v>
      </c>
      <c r="BD311">
        <v>695</v>
      </c>
      <c r="BE311">
        <v>1187.8308</v>
      </c>
      <c r="BF311">
        <v>1096.6393</v>
      </c>
      <c r="BG311">
        <v>682.60059999999999</v>
      </c>
    </row>
    <row r="312" spans="35:59" x14ac:dyDescent="0.3">
      <c r="AI312">
        <v>1187</v>
      </c>
      <c r="AJ312">
        <v>1098</v>
      </c>
      <c r="AK312">
        <v>702</v>
      </c>
      <c r="AL312">
        <v>1186.5463</v>
      </c>
      <c r="AM312">
        <v>1098.6963000000001</v>
      </c>
      <c r="AN312">
        <v>693.76599999999996</v>
      </c>
      <c r="AO312">
        <f t="shared" si="9"/>
        <v>9</v>
      </c>
      <c r="AU312" cm="1">
        <f t="array" ref="AU312">IF($AO312="","", $AL312 - INDEX($AS$2:$AS$11,$AO312))</f>
        <v>40.791044736842196</v>
      </c>
      <c r="AV312" cm="1">
        <f t="array" ref="AV312">IF($AO312="","", $AM312 - INDEX($AT$2:$AT$11,$AO312))</f>
        <v>2.7076763157892856</v>
      </c>
      <c r="AW312">
        <f t="shared" si="10"/>
        <v>110.44894573024881</v>
      </c>
      <c r="BB312">
        <v>1191</v>
      </c>
      <c r="BC312">
        <v>1097</v>
      </c>
      <c r="BD312">
        <v>619</v>
      </c>
      <c r="BE312">
        <v>1191.0413000000001</v>
      </c>
      <c r="BF312">
        <v>1096.2585999999999</v>
      </c>
      <c r="BG312">
        <v>607.75900000000001</v>
      </c>
    </row>
    <row r="313" spans="35:59" x14ac:dyDescent="0.3">
      <c r="AI313">
        <v>1190</v>
      </c>
      <c r="AJ313">
        <v>1096</v>
      </c>
      <c r="AK313">
        <v>631</v>
      </c>
      <c r="AL313">
        <v>1189.7781</v>
      </c>
      <c r="AM313">
        <v>1098.2671</v>
      </c>
      <c r="AN313">
        <v>620.07330000000002</v>
      </c>
      <c r="AO313">
        <f t="shared" si="9"/>
        <v>9</v>
      </c>
      <c r="AU313" cm="1">
        <f t="array" ref="AU313">IF($AO313="","", $AL313 - INDEX($AS$2:$AS$11,$AO313))</f>
        <v>44.022844736842217</v>
      </c>
      <c r="AV313" cm="1">
        <f t="array" ref="AV313">IF($AO313="","", $AM313 - INDEX($AT$2:$AT$11,$AO313))</f>
        <v>2.2784763157892485</v>
      </c>
      <c r="AW313">
        <f t="shared" si="10"/>
        <v>100.30500908656236</v>
      </c>
      <c r="BB313">
        <v>1196</v>
      </c>
      <c r="BC313">
        <v>1095</v>
      </c>
      <c r="BD313">
        <v>549</v>
      </c>
      <c r="BE313">
        <v>1192.9466</v>
      </c>
      <c r="BF313">
        <v>1095.8259</v>
      </c>
      <c r="BG313">
        <v>546.76930000000004</v>
      </c>
    </row>
    <row r="314" spans="35:59" x14ac:dyDescent="0.3">
      <c r="AI314">
        <v>1191</v>
      </c>
      <c r="AJ314">
        <v>1098</v>
      </c>
      <c r="AK314">
        <v>564</v>
      </c>
      <c r="AL314">
        <v>1191.748</v>
      </c>
      <c r="AM314">
        <v>1097.7719</v>
      </c>
      <c r="AN314">
        <v>559.69460000000004</v>
      </c>
      <c r="AO314">
        <f t="shared" si="9"/>
        <v>9</v>
      </c>
      <c r="AU314" cm="1">
        <f t="array" ref="AU314">IF($AO314="","", $AL314 - INDEX($AS$2:$AS$11,$AO314))</f>
        <v>45.992744736842269</v>
      </c>
      <c r="AV314" cm="1">
        <f t="array" ref="AV314">IF($AO314="","", $AM314 - INDEX($AT$2:$AT$11,$AO314))</f>
        <v>1.7832763157891804</v>
      </c>
      <c r="AW314">
        <f t="shared" si="10"/>
        <v>82.017772387348302</v>
      </c>
      <c r="BB314">
        <v>1191</v>
      </c>
      <c r="BC314">
        <v>1095</v>
      </c>
      <c r="BD314">
        <v>494</v>
      </c>
      <c r="BE314">
        <v>1193.4927</v>
      </c>
      <c r="BF314">
        <v>1095.3539000000001</v>
      </c>
      <c r="BG314">
        <v>501.37020000000001</v>
      </c>
    </row>
    <row r="315" spans="35:59" x14ac:dyDescent="0.3">
      <c r="AI315">
        <v>1193</v>
      </c>
      <c r="AJ315">
        <v>1098</v>
      </c>
      <c r="AK315">
        <v>510</v>
      </c>
      <c r="AL315">
        <v>1192.3997999999999</v>
      </c>
      <c r="AM315">
        <v>1097.2251000000001</v>
      </c>
      <c r="AN315">
        <v>514.35159999999996</v>
      </c>
      <c r="AO315">
        <f t="shared" si="9"/>
        <v>9</v>
      </c>
      <c r="AU315" cm="1">
        <f t="array" ref="AU315">IF($AO315="","", $AL315 - INDEX($AS$2:$AS$11,$AO315))</f>
        <v>46.644544736842136</v>
      </c>
      <c r="AV315" cm="1">
        <f t="array" ref="AV315">IF($AO315="","", $AM315 - INDEX($AT$2:$AT$11,$AO315))</f>
        <v>1.2364763157893321</v>
      </c>
      <c r="AW315">
        <f t="shared" si="10"/>
        <v>57.674874827881247</v>
      </c>
      <c r="BB315">
        <v>1191</v>
      </c>
      <c r="BC315">
        <v>1095</v>
      </c>
      <c r="BD315">
        <v>465</v>
      </c>
      <c r="BE315">
        <v>1192.6646000000001</v>
      </c>
      <c r="BF315">
        <v>1094.8569</v>
      </c>
      <c r="BG315">
        <v>472.85399999999998</v>
      </c>
    </row>
    <row r="316" spans="35:59" x14ac:dyDescent="0.3">
      <c r="AI316">
        <v>1189</v>
      </c>
      <c r="AJ316">
        <v>1096</v>
      </c>
      <c r="AK316">
        <v>475</v>
      </c>
      <c r="AL316">
        <v>1191.7153000000001</v>
      </c>
      <c r="AM316">
        <v>1096.6424</v>
      </c>
      <c r="AN316">
        <v>485.3365</v>
      </c>
      <c r="AO316">
        <f t="shared" si="9"/>
        <v>9</v>
      </c>
      <c r="AU316" cm="1">
        <f t="array" ref="AU316">IF($AO316="","", $AL316 - INDEX($AS$2:$AS$11,$AO316))</f>
        <v>45.960044736842292</v>
      </c>
      <c r="AV316" cm="1">
        <f t="array" ref="AV316">IF($AO316="","", $AM316 - INDEX($AT$2:$AT$11,$AO316))</f>
        <v>0.65377631578917317</v>
      </c>
      <c r="AW316">
        <f t="shared" si="10"/>
        <v>30.047588721558334</v>
      </c>
      <c r="BB316">
        <v>1191</v>
      </c>
      <c r="BC316">
        <v>1094</v>
      </c>
      <c r="BD316">
        <v>454</v>
      </c>
      <c r="BE316">
        <v>1190.4866</v>
      </c>
      <c r="BF316">
        <v>1094.3498</v>
      </c>
      <c r="BG316">
        <v>462.03019999999998</v>
      </c>
    </row>
    <row r="317" spans="35:59" x14ac:dyDescent="0.3">
      <c r="AI317">
        <v>1189</v>
      </c>
      <c r="AJ317">
        <v>1096</v>
      </c>
      <c r="AK317">
        <v>462</v>
      </c>
      <c r="AL317">
        <v>1189.7143000000001</v>
      </c>
      <c r="AM317">
        <v>1096.0407</v>
      </c>
      <c r="AN317">
        <v>473.47469999999998</v>
      </c>
      <c r="AO317">
        <f t="shared" si="9"/>
        <v>9</v>
      </c>
      <c r="AU317" cm="1">
        <f t="array" ref="AU317">IF($AO317="","", $AL317 - INDEX($AS$2:$AS$11,$AO317))</f>
        <v>43.959044736842316</v>
      </c>
      <c r="AV317" cm="1">
        <f t="array" ref="AV317">IF($AO317="","", $AM317 - INDEX($AT$2:$AT$11,$AO317))</f>
        <v>5.2076315789236105E-2</v>
      </c>
      <c r="AW317">
        <f t="shared" si="10"/>
        <v>2.2892250955089577</v>
      </c>
      <c r="BB317">
        <v>1187</v>
      </c>
      <c r="BC317">
        <v>1091</v>
      </c>
      <c r="BD317">
        <v>464</v>
      </c>
      <c r="BE317">
        <v>1187.0214000000001</v>
      </c>
      <c r="BF317">
        <v>1093.8480999999999</v>
      </c>
      <c r="BG317">
        <v>469.202</v>
      </c>
    </row>
    <row r="318" spans="35:59" x14ac:dyDescent="0.3">
      <c r="AI318">
        <v>1187</v>
      </c>
      <c r="AJ318">
        <v>1095</v>
      </c>
      <c r="AK318">
        <v>470</v>
      </c>
      <c r="AL318">
        <v>1186.4543000000001</v>
      </c>
      <c r="AM318">
        <v>1095.4369999999999</v>
      </c>
      <c r="AN318">
        <v>479.10149999999999</v>
      </c>
      <c r="AO318">
        <f t="shared" si="9"/>
        <v>9</v>
      </c>
      <c r="AU318" cm="1">
        <f t="array" ref="AU318">IF($AO318="","", $AL318 - INDEX($AS$2:$AS$11,$AO318))</f>
        <v>40.699044736842325</v>
      </c>
      <c r="AV318" cm="1">
        <f t="array" ref="AV318">IF($AO318="","", $AM318 - INDEX($AT$2:$AT$11,$AO318))</f>
        <v>-0.55162368421088104</v>
      </c>
      <c r="AW318">
        <f t="shared" si="10"/>
        <v>-22.45055700160043</v>
      </c>
      <c r="BB318">
        <v>1183</v>
      </c>
      <c r="BC318">
        <v>1094</v>
      </c>
      <c r="BD318">
        <v>494</v>
      </c>
      <c r="BE318">
        <v>1182.3689999999999</v>
      </c>
      <c r="BF318">
        <v>1093.3671999999999</v>
      </c>
      <c r="BG318">
        <v>494.15809999999999</v>
      </c>
    </row>
    <row r="319" spans="35:59" x14ac:dyDescent="0.3">
      <c r="AI319">
        <v>1186</v>
      </c>
      <c r="AJ319">
        <v>1095</v>
      </c>
      <c r="AK319">
        <v>498</v>
      </c>
      <c r="AL319">
        <v>1182.029</v>
      </c>
      <c r="AM319">
        <v>1094.8485000000001</v>
      </c>
      <c r="AN319">
        <v>502.05250000000001</v>
      </c>
      <c r="AO319">
        <f t="shared" si="9"/>
        <v>9</v>
      </c>
      <c r="AU319" cm="1">
        <f t="array" ref="AU319">IF($AO319="","", $AL319 - INDEX($AS$2:$AS$11,$AO319))</f>
        <v>36.273744736842218</v>
      </c>
      <c r="AV319" cm="1">
        <f t="array" ref="AV319">IF($AO319="","", $AM319 - INDEX($AT$2:$AT$11,$AO319))</f>
        <v>-1.140123684210721</v>
      </c>
      <c r="AW319">
        <f t="shared" si="10"/>
        <v>-41.356555489487796</v>
      </c>
      <c r="BB319">
        <v>1178</v>
      </c>
      <c r="BC319">
        <v>1093</v>
      </c>
      <c r="BD319">
        <v>536</v>
      </c>
      <c r="BE319">
        <v>1176.663</v>
      </c>
      <c r="BF319">
        <v>1092.9223</v>
      </c>
      <c r="BG319">
        <v>536.17880000000002</v>
      </c>
    </row>
    <row r="320" spans="35:59" x14ac:dyDescent="0.3">
      <c r="AI320">
        <v>1175</v>
      </c>
      <c r="AJ320">
        <v>1092</v>
      </c>
      <c r="AK320">
        <v>537</v>
      </c>
      <c r="AL320">
        <v>1176.5651</v>
      </c>
      <c r="AM320">
        <v>1094.2918999999999</v>
      </c>
      <c r="AN320">
        <v>541.66819999999996</v>
      </c>
      <c r="AO320">
        <f t="shared" si="9"/>
        <v>9</v>
      </c>
      <c r="AU320" cm="1">
        <f t="array" ref="AU320">IF($AO320="","", $AL320 - INDEX($AS$2:$AS$11,$AO320))</f>
        <v>30.809844736842251</v>
      </c>
      <c r="AV320" cm="1">
        <f t="array" ref="AV320">IF($AO320="","", $AM320 - INDEX($AT$2:$AT$11,$AO320))</f>
        <v>-1.6967236842108377</v>
      </c>
      <c r="AW320">
        <f t="shared" si="10"/>
        <v>-52.275793271858873</v>
      </c>
      <c r="BB320">
        <v>1168</v>
      </c>
      <c r="BC320">
        <v>1093</v>
      </c>
      <c r="BD320">
        <v>586</v>
      </c>
      <c r="BE320">
        <v>1170.0672999999999</v>
      </c>
      <c r="BF320">
        <v>1092.5274999999999</v>
      </c>
      <c r="BG320">
        <v>594.05669999999998</v>
      </c>
    </row>
    <row r="321" spans="35:59" x14ac:dyDescent="0.3">
      <c r="AI321">
        <v>1170</v>
      </c>
      <c r="AJ321">
        <v>1094</v>
      </c>
      <c r="AK321">
        <v>587</v>
      </c>
      <c r="AL321">
        <v>1170.2191</v>
      </c>
      <c r="AM321">
        <v>1093.7828</v>
      </c>
      <c r="AN321">
        <v>596.81309999999996</v>
      </c>
      <c r="AO321">
        <f t="shared" si="9"/>
        <v>9</v>
      </c>
      <c r="AU321" cm="1">
        <f t="array" ref="AU321">IF($AO321="","", $AL321 - INDEX($AS$2:$AS$11,$AO321))</f>
        <v>24.463844736842248</v>
      </c>
      <c r="AV321" cm="1">
        <f t="array" ref="AV321">IF($AO321="","", $AM321 - INDEX($AT$2:$AT$11,$AO321))</f>
        <v>-2.2058236842108272</v>
      </c>
      <c r="AW321">
        <f t="shared" si="10"/>
        <v>-53.962928127383023</v>
      </c>
      <c r="BB321">
        <v>1163</v>
      </c>
      <c r="BC321">
        <v>1092</v>
      </c>
      <c r="BD321">
        <v>652</v>
      </c>
      <c r="BE321">
        <v>1162.7713000000001</v>
      </c>
      <c r="BF321">
        <v>1092.1958</v>
      </c>
      <c r="BG321">
        <v>666.13099999999997</v>
      </c>
    </row>
    <row r="322" spans="35:59" x14ac:dyDescent="0.3">
      <c r="AI322">
        <v>1163</v>
      </c>
      <c r="AJ322">
        <v>1091</v>
      </c>
      <c r="AK322">
        <v>651</v>
      </c>
      <c r="AL322">
        <v>1163.1727000000001</v>
      </c>
      <c r="AM322">
        <v>1093.3353999999999</v>
      </c>
      <c r="AN322">
        <v>665.9085</v>
      </c>
      <c r="AO322">
        <f t="shared" si="9"/>
        <v>9</v>
      </c>
      <c r="AU322" cm="1">
        <f t="array" ref="AU322">IF($AO322="","", $AL322 - INDEX($AS$2:$AS$11,$AO322))</f>
        <v>17.417444736842299</v>
      </c>
      <c r="AV322" cm="1">
        <f t="array" ref="AV322">IF($AO322="","", $AM322 - INDEX($AT$2:$AT$11,$AO322))</f>
        <v>-2.6532236842108432</v>
      </c>
      <c r="AW322">
        <f t="shared" si="10"/>
        <v>-46.212376894223482</v>
      </c>
      <c r="BB322">
        <v>1156</v>
      </c>
      <c r="BC322">
        <v>1092</v>
      </c>
      <c r="BD322">
        <v>726</v>
      </c>
      <c r="BE322">
        <v>1154.9843000000001</v>
      </c>
      <c r="BF322">
        <v>1091.9385</v>
      </c>
      <c r="BG322">
        <v>750.33590000000004</v>
      </c>
    </row>
    <row r="323" spans="35:59" x14ac:dyDescent="0.3">
      <c r="AI323">
        <v>1156</v>
      </c>
      <c r="AJ323">
        <v>1091</v>
      </c>
      <c r="AK323">
        <v>719</v>
      </c>
      <c r="AL323">
        <v>1155.6277</v>
      </c>
      <c r="AM323">
        <v>1092.9622999999999</v>
      </c>
      <c r="AN323">
        <v>746.97730000000001</v>
      </c>
      <c r="AO323">
        <f t="shared" ref="AO323:AO381" si="11">IF(ROW()-ROW($AL$2)+1&lt;=$AP$3, INT((ROW()-ROW($AL$2))/$AP$1)+1, "")</f>
        <v>9</v>
      </c>
      <c r="AU323" cm="1">
        <f t="array" ref="AU323">IF($AO323="","", $AL323 - INDEX($AS$2:$AS$11,$AO323))</f>
        <v>9.8724447368422261</v>
      </c>
      <c r="AV323" cm="1">
        <f t="array" ref="AV323">IF($AO323="","", $AM323 - INDEX($AT$2:$AT$11,$AO323))</f>
        <v>-3.0263236842108654</v>
      </c>
      <c r="AW323">
        <f t="shared" ref="AW323:AW381" si="12">IF($AO323="","", $AU323*$AV323)</f>
        <v>-29.877213328168533</v>
      </c>
      <c r="BB323">
        <v>1153</v>
      </c>
      <c r="BC323">
        <v>1091</v>
      </c>
      <c r="BD323">
        <v>811</v>
      </c>
      <c r="BE323">
        <v>1146.9299000000001</v>
      </c>
      <c r="BF323">
        <v>1091.7647999999999</v>
      </c>
      <c r="BG323">
        <v>844.25890000000004</v>
      </c>
    </row>
    <row r="324" spans="35:59" x14ac:dyDescent="0.3">
      <c r="AI324">
        <v>1148</v>
      </c>
      <c r="AJ324">
        <v>1092</v>
      </c>
      <c r="AK324">
        <v>805</v>
      </c>
      <c r="AL324">
        <v>1147.7999</v>
      </c>
      <c r="AM324">
        <v>1092.6736000000001</v>
      </c>
      <c r="AN324">
        <v>837.70090000000005</v>
      </c>
      <c r="AO324">
        <f t="shared" si="11"/>
        <v>9</v>
      </c>
      <c r="AU324" cm="1">
        <f t="array" ref="AU324">IF($AO324="","", $AL324 - INDEX($AS$2:$AS$11,$AO324))</f>
        <v>2.0446447368422014</v>
      </c>
      <c r="AV324" cm="1">
        <f t="array" ref="AV324">IF($AO324="","", $AM324 - INDEX($AT$2:$AT$11,$AO324))</f>
        <v>-3.3150236842107006</v>
      </c>
      <c r="AW324">
        <f t="shared" si="12"/>
        <v>-6.778045728428653</v>
      </c>
      <c r="BB324">
        <v>1139</v>
      </c>
      <c r="BC324">
        <v>1090</v>
      </c>
      <c r="BD324">
        <v>906</v>
      </c>
      <c r="BE324">
        <v>1138.8389999999999</v>
      </c>
      <c r="BF324">
        <v>1091.6819</v>
      </c>
      <c r="BG324">
        <v>945.21029999999996</v>
      </c>
    </row>
    <row r="325" spans="35:59" x14ac:dyDescent="0.3">
      <c r="AI325">
        <v>1142</v>
      </c>
      <c r="AJ325">
        <v>1092</v>
      </c>
      <c r="AK325">
        <v>896</v>
      </c>
      <c r="AL325">
        <v>1139.9132</v>
      </c>
      <c r="AM325">
        <v>1092.4773</v>
      </c>
      <c r="AN325">
        <v>935.48599999999999</v>
      </c>
      <c r="AO325">
        <f t="shared" si="11"/>
        <v>9</v>
      </c>
      <c r="AU325" cm="1">
        <f t="array" ref="AU325">IF($AO325="","", $AL325 - INDEX($AS$2:$AS$11,$AO325))</f>
        <v>-5.8420552631578175</v>
      </c>
      <c r="AV325" cm="1">
        <f t="array" ref="AV325">IF($AO325="","", $AM325 - INDEX($AT$2:$AT$11,$AO325))</f>
        <v>-3.5113236842107654</v>
      </c>
      <c r="AW325">
        <f t="shared" si="12"/>
        <v>20.513347009994199</v>
      </c>
      <c r="BB325">
        <v>1133</v>
      </c>
      <c r="BC325">
        <v>1091</v>
      </c>
      <c r="BD325">
        <v>1004</v>
      </c>
      <c r="BE325">
        <v>1130.9439</v>
      </c>
      <c r="BF325">
        <v>1091.6943000000001</v>
      </c>
      <c r="BG325">
        <v>1050.3003000000001</v>
      </c>
    </row>
    <row r="326" spans="35:59" x14ac:dyDescent="0.3">
      <c r="AI326">
        <v>1130</v>
      </c>
      <c r="AJ326">
        <v>1092</v>
      </c>
      <c r="AK326">
        <v>994</v>
      </c>
      <c r="AL326">
        <v>1132.1932999999999</v>
      </c>
      <c r="AM326">
        <v>1092.3786</v>
      </c>
      <c r="AN326">
        <v>1037.5382</v>
      </c>
      <c r="AO326">
        <f t="shared" si="11"/>
        <v>9</v>
      </c>
      <c r="AU326" cm="1">
        <f t="array" ref="AU326">IF($AO326="","", $AL326 - INDEX($AS$2:$AS$11,$AO326))</f>
        <v>-13.56195526315787</v>
      </c>
      <c r="AV326" cm="1">
        <f t="array" ref="AV326">IF($AO326="","", $AM326 - INDEX($AT$2:$AT$11,$AO326))</f>
        <v>-3.6100236842107734</v>
      </c>
      <c r="AW326">
        <f t="shared" si="12"/>
        <v>48.958979704206861</v>
      </c>
      <c r="BB326">
        <v>1127</v>
      </c>
      <c r="BC326">
        <v>1092</v>
      </c>
      <c r="BD326">
        <v>1105</v>
      </c>
      <c r="BE326">
        <v>1123.4711</v>
      </c>
      <c r="BF326">
        <v>1091.8036999999999</v>
      </c>
      <c r="BG326">
        <v>1156.5213000000001</v>
      </c>
    </row>
    <row r="327" spans="35:59" x14ac:dyDescent="0.3">
      <c r="AI327">
        <v>1126</v>
      </c>
      <c r="AJ327">
        <v>1091</v>
      </c>
      <c r="AK327">
        <v>1094</v>
      </c>
      <c r="AL327">
        <v>1124.8608999999999</v>
      </c>
      <c r="AM327">
        <v>1092.3800000000001</v>
      </c>
      <c r="AN327">
        <v>1140.9428</v>
      </c>
      <c r="AO327">
        <f t="shared" si="11"/>
        <v>9</v>
      </c>
      <c r="AU327" cm="1">
        <f t="array" ref="AU327">IF($AO327="","", $AL327 - INDEX($AS$2:$AS$11,$AO327))</f>
        <v>-20.894355263157877</v>
      </c>
      <c r="AV327" cm="1">
        <f t="array" ref="AV327">IF($AO327="","", $AM327 - INDEX($AT$2:$AT$11,$AO327))</f>
        <v>-3.60862368421067</v>
      </c>
      <c r="AW327">
        <f t="shared" si="12"/>
        <v>75.399865268943387</v>
      </c>
      <c r="BB327">
        <v>1113</v>
      </c>
      <c r="BC327">
        <v>1091</v>
      </c>
      <c r="BD327">
        <v>1296</v>
      </c>
      <c r="BE327">
        <v>1116.6348</v>
      </c>
      <c r="BF327">
        <v>1092.0093999999999</v>
      </c>
      <c r="BG327">
        <v>1260.8342</v>
      </c>
    </row>
    <row r="328" spans="35:59" x14ac:dyDescent="0.3">
      <c r="AI328">
        <v>1115</v>
      </c>
      <c r="AJ328">
        <v>1091</v>
      </c>
      <c r="AK328">
        <v>1276</v>
      </c>
      <c r="AL328">
        <v>1118.1256000000001</v>
      </c>
      <c r="AM328">
        <v>1092.4811999999999</v>
      </c>
      <c r="AN328">
        <v>1242.7475999999999</v>
      </c>
      <c r="AO328">
        <f t="shared" si="11"/>
        <v>9</v>
      </c>
      <c r="AU328" cm="1">
        <f t="array" ref="AU328">IF($AO328="","", $AL328 - INDEX($AS$2:$AS$11,$AO328))</f>
        <v>-27.629655263157701</v>
      </c>
      <c r="AV328" cm="1">
        <f t="array" ref="AV328">IF($AO328="","", $AM328 - INDEX($AT$2:$AT$11,$AO328))</f>
        <v>-3.5074236842108348</v>
      </c>
      <c r="AW328">
        <f t="shared" si="12"/>
        <v>96.908907256579866</v>
      </c>
      <c r="BB328">
        <v>1107</v>
      </c>
      <c r="BC328">
        <v>1091</v>
      </c>
      <c r="BD328">
        <v>1402</v>
      </c>
      <c r="BE328">
        <v>1110.6314</v>
      </c>
      <c r="BF328">
        <v>1092.3078</v>
      </c>
      <c r="BG328">
        <v>1360.2552000000001</v>
      </c>
    </row>
    <row r="329" spans="35:59" x14ac:dyDescent="0.3">
      <c r="AI329">
        <v>1106</v>
      </c>
      <c r="AJ329">
        <v>1091</v>
      </c>
      <c r="AK329">
        <v>1390</v>
      </c>
      <c r="AL329">
        <v>1112.1799000000001</v>
      </c>
      <c r="AM329">
        <v>1092.6789000000001</v>
      </c>
      <c r="AN329">
        <v>1340.048</v>
      </c>
      <c r="AO329">
        <f t="shared" si="11"/>
        <v>9</v>
      </c>
      <c r="AU329" cm="1">
        <f t="array" ref="AU329">IF($AO329="","", $AL329 - INDEX($AS$2:$AS$11,$AO329))</f>
        <v>-33.575355263157689</v>
      </c>
      <c r="AV329" cm="1">
        <f t="array" ref="AV329">IF($AO329="","", $AM329 - INDEX($AT$2:$AT$11,$AO329))</f>
        <v>-3.3097236842106668</v>
      </c>
      <c r="AW329">
        <f t="shared" si="12"/>
        <v>111.12514852026027</v>
      </c>
      <c r="BB329">
        <v>1099</v>
      </c>
      <c r="BC329">
        <v>1093</v>
      </c>
      <c r="BD329">
        <v>1479</v>
      </c>
      <c r="BE329">
        <v>1105.6331</v>
      </c>
      <c r="BF329">
        <v>1092.6925000000001</v>
      </c>
      <c r="BG329">
        <v>1451.9413</v>
      </c>
    </row>
    <row r="330" spans="35:59" x14ac:dyDescent="0.3">
      <c r="AI330">
        <v>1104</v>
      </c>
      <c r="AJ330">
        <v>1091</v>
      </c>
      <c r="AK330">
        <v>1463</v>
      </c>
      <c r="AL330">
        <v>1107.1938</v>
      </c>
      <c r="AM330">
        <v>1092.9674</v>
      </c>
      <c r="AN330">
        <v>1430.0696</v>
      </c>
      <c r="AO330">
        <f t="shared" si="11"/>
        <v>9</v>
      </c>
      <c r="AU330" cm="1">
        <f t="array" ref="AU330">IF($AO330="","", $AL330 - INDEX($AS$2:$AS$11,$AO330))</f>
        <v>-38.561455263157768</v>
      </c>
      <c r="AV330" cm="1">
        <f t="array" ref="AV330">IF($AO330="","", $AM330 - INDEX($AT$2:$AT$11,$AO330))</f>
        <v>-3.0212236842107814</v>
      </c>
      <c r="AW330">
        <f t="shared" si="12"/>
        <v>116.50278193868674</v>
      </c>
      <c r="BB330">
        <v>1095</v>
      </c>
      <c r="BC330">
        <v>1092</v>
      </c>
      <c r="BD330">
        <v>1566</v>
      </c>
      <c r="BE330">
        <v>1101.7835</v>
      </c>
      <c r="BF330">
        <v>1093.1549</v>
      </c>
      <c r="BG330">
        <v>1533.2711999999999</v>
      </c>
    </row>
    <row r="331" spans="35:59" x14ac:dyDescent="0.3">
      <c r="AI331">
        <v>1101</v>
      </c>
      <c r="AJ331">
        <v>1094</v>
      </c>
      <c r="AK331">
        <v>1542</v>
      </c>
      <c r="AL331">
        <v>1103.3095000000001</v>
      </c>
      <c r="AM331">
        <v>1093.3384000000001</v>
      </c>
      <c r="AN331">
        <v>1510.248</v>
      </c>
      <c r="AO331">
        <f t="shared" si="11"/>
        <v>9</v>
      </c>
      <c r="AU331" cm="1">
        <f t="array" ref="AU331">IF($AO331="","", $AL331 - INDEX($AS$2:$AS$11,$AO331))</f>
        <v>-42.445755263157707</v>
      </c>
      <c r="AV331" cm="1">
        <f t="array" ref="AV331">IF($AO331="","", $AM331 - INDEX($AT$2:$AT$11,$AO331))</f>
        <v>-2.6502236842106868</v>
      </c>
      <c r="AW331">
        <f t="shared" si="12"/>
        <v>112.49074589263097</v>
      </c>
      <c r="BB331">
        <v>1095</v>
      </c>
      <c r="BC331">
        <v>1093</v>
      </c>
      <c r="BD331">
        <v>1638</v>
      </c>
      <c r="BE331">
        <v>1099.1931999999999</v>
      </c>
      <c r="BF331">
        <v>1093.6838</v>
      </c>
      <c r="BG331">
        <v>1601.9206999999999</v>
      </c>
    </row>
    <row r="332" spans="35:59" x14ac:dyDescent="0.3">
      <c r="AI332">
        <v>1099</v>
      </c>
      <c r="AJ332">
        <v>1096</v>
      </c>
      <c r="AK332">
        <v>1619</v>
      </c>
      <c r="AL332">
        <v>1100.6379999999999</v>
      </c>
      <c r="AM332">
        <v>1093.7813000000001</v>
      </c>
      <c r="AN332">
        <v>1578.3018999999999</v>
      </c>
      <c r="AO332">
        <f t="shared" si="11"/>
        <v>9</v>
      </c>
      <c r="AU332" cm="1">
        <f t="array" ref="AU332">IF($AO332="","", $AL332 - INDEX($AS$2:$AS$11,$AO332))</f>
        <v>-45.117255263157858</v>
      </c>
      <c r="AV332" cm="1">
        <f t="array" ref="AV332">IF($AO332="","", $AM332 - INDEX($AT$2:$AT$11,$AO332))</f>
        <v>-2.207323684210678</v>
      </c>
      <c r="AW332">
        <f t="shared" si="12"/>
        <v>99.588386108947205</v>
      </c>
      <c r="BB332">
        <v>1098</v>
      </c>
      <c r="BC332">
        <v>1094</v>
      </c>
      <c r="BD332">
        <v>1694</v>
      </c>
      <c r="BE332">
        <v>1097.9368999999999</v>
      </c>
      <c r="BF332">
        <v>1094.2662</v>
      </c>
      <c r="BG332">
        <v>1655.9286</v>
      </c>
    </row>
    <row r="333" spans="35:59" x14ac:dyDescent="0.3">
      <c r="AI333">
        <v>1098</v>
      </c>
      <c r="AJ333">
        <v>1094</v>
      </c>
      <c r="AK333">
        <v>1667</v>
      </c>
      <c r="AL333">
        <v>1099.2553</v>
      </c>
      <c r="AM333">
        <v>1094.2835</v>
      </c>
      <c r="AN333">
        <v>1632.2982999999999</v>
      </c>
      <c r="AO333">
        <f t="shared" si="11"/>
        <v>9</v>
      </c>
      <c r="AU333" cm="1">
        <f t="array" ref="AU333">IF($AO333="","", $AL333 - INDEX($AS$2:$AS$11,$AO333))</f>
        <v>-46.499955263157744</v>
      </c>
      <c r="AV333" cm="1">
        <f t="array" ref="AV333">IF($AO333="","", $AM333 - INDEX($AT$2:$AT$11,$AO333))</f>
        <v>-1.7051236842107755</v>
      </c>
      <c r="AW333">
        <f t="shared" si="12"/>
        <v>79.288175033951774</v>
      </c>
      <c r="BB333">
        <v>1095</v>
      </c>
      <c r="BC333">
        <v>1093</v>
      </c>
      <c r="BD333">
        <v>1723</v>
      </c>
      <c r="BE333">
        <v>1098.0509</v>
      </c>
      <c r="BF333">
        <v>1094.8873000000001</v>
      </c>
      <c r="BG333">
        <v>1693.7529999999999</v>
      </c>
    </row>
    <row r="334" spans="35:59" x14ac:dyDescent="0.3">
      <c r="AI334">
        <v>1099</v>
      </c>
      <c r="AJ334">
        <v>1094</v>
      </c>
      <c r="AK334">
        <v>1702</v>
      </c>
      <c r="AL334">
        <v>1099.2009</v>
      </c>
      <c r="AM334">
        <v>1094.8308999999999</v>
      </c>
      <c r="AN334">
        <v>1670.7080000000001</v>
      </c>
      <c r="AO334">
        <f t="shared" si="11"/>
        <v>9</v>
      </c>
      <c r="AU334" cm="1">
        <f t="array" ref="AU334">IF($AO334="","", $AL334 - INDEX($AS$2:$AS$11,$AO334))</f>
        <v>-46.554355263157731</v>
      </c>
      <c r="AV334" cm="1">
        <f t="array" ref="AV334">IF($AO334="","", $AM334 - INDEX($AT$2:$AT$11,$AO334))</f>
        <v>-1.1577236842108505</v>
      </c>
      <c r="AW334">
        <f t="shared" si="12"/>
        <v>53.897079691323768</v>
      </c>
      <c r="BB334">
        <v>1098</v>
      </c>
      <c r="BC334">
        <v>1095</v>
      </c>
      <c r="BD334">
        <v>1737</v>
      </c>
      <c r="BE334">
        <v>1099.5324000000001</v>
      </c>
      <c r="BF334">
        <v>1095.5313000000001</v>
      </c>
      <c r="BG334">
        <v>1714.3154</v>
      </c>
    </row>
    <row r="335" spans="35:59" x14ac:dyDescent="0.3">
      <c r="AI335">
        <v>1097</v>
      </c>
      <c r="AJ335">
        <v>1096</v>
      </c>
      <c r="AK335">
        <v>1715</v>
      </c>
      <c r="AL335">
        <v>1100.4760000000001</v>
      </c>
      <c r="AM335">
        <v>1095.4081000000001</v>
      </c>
      <c r="AN335">
        <v>1692.4485999999999</v>
      </c>
      <c r="AO335">
        <f t="shared" si="11"/>
        <v>9</v>
      </c>
      <c r="AU335" cm="1">
        <f t="array" ref="AU335">IF($AO335="","", $AL335 - INDEX($AS$2:$AS$11,$AO335))</f>
        <v>-45.279255263157665</v>
      </c>
      <c r="AV335" cm="1">
        <f t="array" ref="AV335">IF($AO335="","", $AM335 - INDEX($AT$2:$AT$11,$AO335))</f>
        <v>-0.58052368421067513</v>
      </c>
      <c r="AW335">
        <f t="shared" si="12"/>
        <v>26.285680083683889</v>
      </c>
      <c r="BB335">
        <v>1104</v>
      </c>
      <c r="BC335">
        <v>1095</v>
      </c>
      <c r="BD335">
        <v>1725</v>
      </c>
      <c r="BE335">
        <v>1102.3394000000001</v>
      </c>
      <c r="BF335">
        <v>1096.1812</v>
      </c>
      <c r="BG335">
        <v>1717.0309999999999</v>
      </c>
    </row>
    <row r="336" spans="35:59" x14ac:dyDescent="0.3">
      <c r="AI336">
        <v>1102</v>
      </c>
      <c r="AJ336">
        <v>1095</v>
      </c>
      <c r="AK336">
        <v>1707</v>
      </c>
      <c r="AL336">
        <v>1103.0437999999999</v>
      </c>
      <c r="AM336">
        <v>1095.999</v>
      </c>
      <c r="AN336">
        <v>1696.9159999999999</v>
      </c>
      <c r="AO336">
        <f t="shared" si="11"/>
        <v>9</v>
      </c>
      <c r="AU336" cm="1">
        <f t="array" ref="AU336">IF($AO336="","", $AL336 - INDEX($AS$2:$AS$11,$AO336))</f>
        <v>-42.711455263157859</v>
      </c>
      <c r="AV336" cm="1">
        <f t="array" ref="AV336">IF($AO336="","", $AM336 - INDEX($AT$2:$AT$11,$AO336))</f>
        <v>1.0376315789244472E-2</v>
      </c>
      <c r="AW336">
        <f t="shared" si="12"/>
        <v>-0.44318754762871382</v>
      </c>
      <c r="BB336">
        <v>1105</v>
      </c>
      <c r="BC336">
        <v>1095</v>
      </c>
      <c r="BD336">
        <v>1693</v>
      </c>
      <c r="BE336">
        <v>1106.3922</v>
      </c>
      <c r="BF336">
        <v>1096.82</v>
      </c>
      <c r="BG336">
        <v>1701.8261</v>
      </c>
    </row>
    <row r="337" spans="35:59" x14ac:dyDescent="0.3">
      <c r="AI337">
        <v>1106</v>
      </c>
      <c r="AJ337">
        <v>1095</v>
      </c>
      <c r="AK337">
        <v>1680</v>
      </c>
      <c r="AL337">
        <v>1106.8308</v>
      </c>
      <c r="AM337">
        <v>1096.5871999999999</v>
      </c>
      <c r="AN337">
        <v>1684.0009</v>
      </c>
      <c r="AO337">
        <f t="shared" si="11"/>
        <v>9</v>
      </c>
      <c r="AU337" cm="1">
        <f t="array" ref="AU337">IF($AO337="","", $AL337 - INDEX($AS$2:$AS$11,$AO337))</f>
        <v>-38.924455263157824</v>
      </c>
      <c r="AV337" cm="1">
        <f t="array" ref="AV337">IF($AO337="","", $AM337 - INDEX($AT$2:$AT$11,$AO337))</f>
        <v>0.59857631578915971</v>
      </c>
      <c r="AW337">
        <f t="shared" si="12"/>
        <v>-23.299257025520976</v>
      </c>
      <c r="BB337">
        <v>1111</v>
      </c>
      <c r="BC337">
        <v>1095</v>
      </c>
      <c r="BD337">
        <v>1652</v>
      </c>
      <c r="BE337">
        <v>1111.575</v>
      </c>
      <c r="BF337">
        <v>1097.4305999999999</v>
      </c>
      <c r="BG337">
        <v>1669.1391000000001</v>
      </c>
    </row>
    <row r="338" spans="35:59" x14ac:dyDescent="0.3">
      <c r="AI338">
        <v>1114</v>
      </c>
      <c r="AJ338">
        <v>1096</v>
      </c>
      <c r="AK338">
        <v>1640</v>
      </c>
      <c r="AL338">
        <v>1111.7284999999999</v>
      </c>
      <c r="AM338">
        <v>1097.1566</v>
      </c>
      <c r="AN338">
        <v>1654.0921000000001</v>
      </c>
      <c r="AO338">
        <f t="shared" si="11"/>
        <v>9</v>
      </c>
      <c r="AU338" cm="1">
        <f t="array" ref="AU338">IF($AO338="","", $AL338 - INDEX($AS$2:$AS$11,$AO338))</f>
        <v>-34.026755263157838</v>
      </c>
      <c r="AV338" cm="1">
        <f t="array" ref="AV338">IF($AO338="","", $AM338 - INDEX($AT$2:$AT$11,$AO338))</f>
        <v>1.1679763157892467</v>
      </c>
      <c r="AW338">
        <f t="shared" si="12"/>
        <v>-39.742444250525452</v>
      </c>
      <c r="BB338">
        <v>1118</v>
      </c>
      <c r="BC338">
        <v>1097</v>
      </c>
      <c r="BD338">
        <v>1599</v>
      </c>
      <c r="BE338">
        <v>1117.7401</v>
      </c>
      <c r="BF338">
        <v>1097.9965999999999</v>
      </c>
      <c r="BG338">
        <v>1619.9087</v>
      </c>
    </row>
    <row r="339" spans="35:59" x14ac:dyDescent="0.3">
      <c r="AI339">
        <v>1115</v>
      </c>
      <c r="AJ339">
        <v>1096</v>
      </c>
      <c r="AK339">
        <v>1583</v>
      </c>
      <c r="AL339">
        <v>1117.5966000000001</v>
      </c>
      <c r="AM339">
        <v>1097.6913</v>
      </c>
      <c r="AN339">
        <v>1608.0649000000001</v>
      </c>
      <c r="AO339">
        <f t="shared" si="11"/>
        <v>9</v>
      </c>
      <c r="AU339" cm="1">
        <f t="array" ref="AU339">IF($AO339="","", $AL339 - INDEX($AS$2:$AS$11,$AO339))</f>
        <v>-28.158655263157698</v>
      </c>
      <c r="AV339" cm="1">
        <f t="array" ref="AV339">IF($AO339="","", $AM339 - INDEX($AT$2:$AT$11,$AO339))</f>
        <v>1.7026763157891764</v>
      </c>
      <c r="AW339">
        <f t="shared" si="12"/>
        <v>-47.94507540105085</v>
      </c>
      <c r="BB339">
        <v>1119</v>
      </c>
      <c r="BC339">
        <v>1097</v>
      </c>
      <c r="BD339">
        <v>1541</v>
      </c>
      <c r="BE339">
        <v>1124.7113999999999</v>
      </c>
      <c r="BF339">
        <v>1098.5027</v>
      </c>
      <c r="BG339">
        <v>1555.5467000000001</v>
      </c>
    </row>
    <row r="340" spans="35:59" x14ac:dyDescent="0.3">
      <c r="AI340">
        <v>1123</v>
      </c>
      <c r="AJ340">
        <v>1098</v>
      </c>
      <c r="AK340">
        <v>1526</v>
      </c>
      <c r="AL340">
        <v>1124.2673</v>
      </c>
      <c r="AM340">
        <v>1098.1768</v>
      </c>
      <c r="AN340">
        <v>1547.2557999999999</v>
      </c>
      <c r="AO340">
        <f t="shared" si="11"/>
        <v>9</v>
      </c>
      <c r="AU340" cm="1">
        <f t="array" ref="AU340">IF($AO340="","", $AL340 - INDEX($AS$2:$AS$11,$AO340))</f>
        <v>-21.487955263157801</v>
      </c>
      <c r="AV340" cm="1">
        <f t="array" ref="AV340">IF($AO340="","", $AM340 - INDEX($AT$2:$AT$11,$AO340))</f>
        <v>2.1881763157891783</v>
      </c>
      <c r="AW340">
        <f t="shared" si="12"/>
        <v>-47.019434781579321</v>
      </c>
      <c r="BB340">
        <v>1131</v>
      </c>
      <c r="BC340">
        <v>1097</v>
      </c>
      <c r="BD340">
        <v>1465</v>
      </c>
      <c r="BE340">
        <v>1132.2898</v>
      </c>
      <c r="BF340">
        <v>1098.9351999999999</v>
      </c>
      <c r="BG340">
        <v>1477.8974000000001</v>
      </c>
    </row>
    <row r="341" spans="35:59" x14ac:dyDescent="0.3">
      <c r="AI341">
        <v>1134</v>
      </c>
      <c r="AJ341">
        <v>1098</v>
      </c>
      <c r="AK341">
        <v>1458</v>
      </c>
      <c r="AL341">
        <v>1131.5498</v>
      </c>
      <c r="AM341">
        <v>1098.5999999999999</v>
      </c>
      <c r="AN341">
        <v>1473.424</v>
      </c>
      <c r="AO341">
        <f t="shared" si="11"/>
        <v>9</v>
      </c>
      <c r="AU341" cm="1">
        <f t="array" ref="AU341">IF($AO341="","", $AL341 - INDEX($AS$2:$AS$11,$AO341))</f>
        <v>-14.205455263157774</v>
      </c>
      <c r="AV341" cm="1">
        <f t="array" ref="AV341">IF($AO341="","", $AM341 - INDEX($AT$2:$AT$11,$AO341))</f>
        <v>2.6113763157891299</v>
      </c>
      <c r="AW341">
        <f t="shared" si="12"/>
        <v>-37.095789429212253</v>
      </c>
      <c r="BB341">
        <v>1141</v>
      </c>
      <c r="BC341">
        <v>1099</v>
      </c>
      <c r="BD341">
        <v>1383</v>
      </c>
      <c r="BE341">
        <v>1140.2591</v>
      </c>
      <c r="BF341">
        <v>1099.2819</v>
      </c>
      <c r="BG341">
        <v>1389.1848</v>
      </c>
    </row>
    <row r="342" spans="35:59" x14ac:dyDescent="0.3">
      <c r="AI342">
        <v>1141</v>
      </c>
      <c r="AJ342">
        <v>1100</v>
      </c>
      <c r="AK342">
        <v>1378</v>
      </c>
      <c r="AL342">
        <v>1139.2357999999999</v>
      </c>
      <c r="AM342">
        <v>1098.9494</v>
      </c>
      <c r="AN342">
        <v>1388.701</v>
      </c>
      <c r="AO342">
        <f t="shared" si="11"/>
        <v>9</v>
      </c>
      <c r="AU342" cm="1">
        <f t="array" ref="AU342">IF($AO342="","", $AL342 - INDEX($AS$2:$AS$11,$AO342))</f>
        <v>-6.5194552631578517</v>
      </c>
      <c r="AV342" cm="1">
        <f t="array" ref="AV342">IF($AO342="","", $AM342 - INDEX($AT$2:$AT$11,$AO342))</f>
        <v>2.9607763157891895</v>
      </c>
      <c r="AW342">
        <f t="shared" si="12"/>
        <v>-19.302648735004947</v>
      </c>
      <c r="BB342">
        <v>1152</v>
      </c>
      <c r="BC342">
        <v>1097</v>
      </c>
      <c r="BD342">
        <v>1284</v>
      </c>
      <c r="BE342">
        <v>1148.3915999999999</v>
      </c>
      <c r="BF342">
        <v>1099.5335</v>
      </c>
      <c r="BG342">
        <v>1291.9492</v>
      </c>
    </row>
    <row r="343" spans="35:59" x14ac:dyDescent="0.3">
      <c r="AI343">
        <v>1146</v>
      </c>
      <c r="AJ343">
        <v>1098</v>
      </c>
      <c r="AK343">
        <v>1287</v>
      </c>
      <c r="AL343">
        <v>1147.1057000000001</v>
      </c>
      <c r="AM343">
        <v>1099.2158999999999</v>
      </c>
      <c r="AN343">
        <v>1295.5289</v>
      </c>
      <c r="AO343">
        <f t="shared" si="11"/>
        <v>9</v>
      </c>
      <c r="AU343" cm="1">
        <f t="array" ref="AU343">IF($AO343="","", $AL343 - INDEX($AS$2:$AS$11,$AO343))</f>
        <v>1.3504447368422916</v>
      </c>
      <c r="AV343" cm="1">
        <f t="array" ref="AV343">IF($AO343="","", $AM343 - INDEX($AT$2:$AT$11,$AO343))</f>
        <v>3.2272763157891404</v>
      </c>
      <c r="AW343">
        <f t="shared" si="12"/>
        <v>4.3582583149932264</v>
      </c>
      <c r="BB343">
        <v>1154</v>
      </c>
      <c r="BC343">
        <v>1097</v>
      </c>
      <c r="BD343">
        <v>1181</v>
      </c>
      <c r="BE343">
        <v>1156.4550999999999</v>
      </c>
      <c r="BF343">
        <v>1099.6826000000001</v>
      </c>
      <c r="BG343">
        <v>1188.9743000000001</v>
      </c>
    </row>
    <row r="344" spans="35:59" x14ac:dyDescent="0.3">
      <c r="AI344">
        <v>1155</v>
      </c>
      <c r="AJ344">
        <v>1098</v>
      </c>
      <c r="AK344">
        <v>1192</v>
      </c>
      <c r="AL344">
        <v>1154.9344000000001</v>
      </c>
      <c r="AM344">
        <v>1099.3924</v>
      </c>
      <c r="AN344">
        <v>1196.5907999999999</v>
      </c>
      <c r="AO344">
        <f t="shared" si="11"/>
        <v>10</v>
      </c>
      <c r="AU344" cm="1">
        <f t="array" ref="AU344">IF($AO344="","", $AL344 - INDEX($AS$2:$AS$11,$AO344))</f>
        <v>8.8682131578946155</v>
      </c>
      <c r="AV344" cm="1">
        <f t="array" ref="AV344">IF($AO344="","", $AM344 - INDEX($AT$2:$AT$11,$AO344))</f>
        <v>3.2341736842106457</v>
      </c>
      <c r="AW344">
        <f t="shared" si="12"/>
        <v>28.681341621233354</v>
      </c>
      <c r="BB344">
        <v>1164</v>
      </c>
      <c r="BC344">
        <v>1098</v>
      </c>
      <c r="BD344">
        <v>1082</v>
      </c>
      <c r="BE344">
        <v>1164.2193</v>
      </c>
      <c r="BF344">
        <v>1099.7249999999999</v>
      </c>
      <c r="BG344">
        <v>1083.2074</v>
      </c>
    </row>
    <row r="345" spans="35:59" x14ac:dyDescent="0.3">
      <c r="AI345">
        <v>1160</v>
      </c>
      <c r="AJ345">
        <v>1098</v>
      </c>
      <c r="AK345">
        <v>1094</v>
      </c>
      <c r="AL345">
        <v>1162.4984999999999</v>
      </c>
      <c r="AM345">
        <v>1099.4748</v>
      </c>
      <c r="AN345">
        <v>1094.7333000000001</v>
      </c>
      <c r="AO345">
        <f t="shared" si="11"/>
        <v>10</v>
      </c>
      <c r="AU345" cm="1">
        <f t="array" ref="AU345">IF($AO345="","", $AL345 - INDEX($AS$2:$AS$11,$AO345))</f>
        <v>16.432313157894441</v>
      </c>
      <c r="AV345" cm="1">
        <f t="array" ref="AV345">IF($AO345="","", $AM345 - INDEX($AT$2:$AT$11,$AO345))</f>
        <v>3.3165736842106526</v>
      </c>
      <c r="AW345">
        <f t="shared" si="12"/>
        <v>54.498977390181153</v>
      </c>
      <c r="BB345">
        <v>1183</v>
      </c>
      <c r="BC345">
        <v>1115</v>
      </c>
      <c r="BD345">
        <v>1003</v>
      </c>
      <c r="BE345">
        <v>1171.4626000000001</v>
      </c>
      <c r="BF345">
        <v>1099.6594</v>
      </c>
      <c r="BG345">
        <v>977.67550000000006</v>
      </c>
    </row>
    <row r="346" spans="35:59" x14ac:dyDescent="0.3">
      <c r="AI346">
        <v>1167</v>
      </c>
      <c r="AJ346">
        <v>1097</v>
      </c>
      <c r="AK346">
        <v>1002</v>
      </c>
      <c r="AL346">
        <v>1169.5817</v>
      </c>
      <c r="AM346">
        <v>1099.4612</v>
      </c>
      <c r="AN346">
        <v>992.88520000000005</v>
      </c>
      <c r="AO346">
        <f t="shared" si="11"/>
        <v>10</v>
      </c>
      <c r="AU346" cm="1">
        <f t="array" ref="AU346">IF($AO346="","", $AL346 - INDEX($AS$2:$AS$11,$AO346))</f>
        <v>23.515513157894475</v>
      </c>
      <c r="AV346" cm="1">
        <f t="array" ref="AV346">IF($AO346="","", $AM346 - INDEX($AT$2:$AT$11,$AO346))</f>
        <v>3.3029736842106558</v>
      </c>
      <c r="AW346">
        <f t="shared" si="12"/>
        <v>77.671121131234869</v>
      </c>
      <c r="BB346">
        <v>1178</v>
      </c>
      <c r="BC346">
        <v>1099</v>
      </c>
      <c r="BD346">
        <v>878</v>
      </c>
      <c r="BE346">
        <v>1177.9783</v>
      </c>
      <c r="BF346">
        <v>1099.4872</v>
      </c>
      <c r="BG346">
        <v>875.39850000000001</v>
      </c>
    </row>
    <row r="347" spans="35:59" x14ac:dyDescent="0.3">
      <c r="AI347">
        <v>1175</v>
      </c>
      <c r="AJ347">
        <v>1098</v>
      </c>
      <c r="AK347">
        <v>890</v>
      </c>
      <c r="AL347">
        <v>1175.9819</v>
      </c>
      <c r="AM347">
        <v>1099.3525999999999</v>
      </c>
      <c r="AN347">
        <v>893.97329999999999</v>
      </c>
      <c r="AO347">
        <f t="shared" si="11"/>
        <v>10</v>
      </c>
      <c r="AU347" cm="1">
        <f t="array" ref="AU347">IF($AO347="","", $AL347 - INDEX($AS$2:$AS$11,$AO347))</f>
        <v>29.915713157894515</v>
      </c>
      <c r="AV347" cm="1">
        <f t="array" ref="AV347">IF($AO347="","", $AM347 - INDEX($AT$2:$AT$11,$AO347))</f>
        <v>3.1943736842106318</v>
      </c>
      <c r="AW347">
        <f t="shared" si="12"/>
        <v>95.561966855971974</v>
      </c>
      <c r="BB347">
        <v>1182</v>
      </c>
      <c r="BC347">
        <v>1098</v>
      </c>
      <c r="BD347">
        <v>794</v>
      </c>
      <c r="BE347">
        <v>1183.5804000000001</v>
      </c>
      <c r="BF347">
        <v>1099.2129</v>
      </c>
      <c r="BG347">
        <v>779.30250000000001</v>
      </c>
    </row>
    <row r="348" spans="35:59" x14ac:dyDescent="0.3">
      <c r="AI348">
        <v>1183</v>
      </c>
      <c r="AJ348">
        <v>1099</v>
      </c>
      <c r="AK348">
        <v>807</v>
      </c>
      <c r="AL348">
        <v>1181.5163</v>
      </c>
      <c r="AM348">
        <v>1099.1528000000001</v>
      </c>
      <c r="AN348">
        <v>800.83870000000002</v>
      </c>
      <c r="AO348">
        <f t="shared" si="11"/>
        <v>10</v>
      </c>
      <c r="AU348" cm="1">
        <f t="array" ref="AU348">IF($AO348="","", $AL348 - INDEX($AS$2:$AS$11,$AO348))</f>
        <v>35.450113157894521</v>
      </c>
      <c r="AV348" cm="1">
        <f t="array" ref="AV348">IF($AO348="","", $AM348 - INDEX($AT$2:$AT$11,$AO348))</f>
        <v>2.9945736842107635</v>
      </c>
      <c r="AW348">
        <f t="shared" si="12"/>
        <v>106.15797596492466</v>
      </c>
      <c r="BB348">
        <v>1185</v>
      </c>
      <c r="BC348">
        <v>1095</v>
      </c>
      <c r="BD348">
        <v>705</v>
      </c>
      <c r="BE348">
        <v>1188.1092000000001</v>
      </c>
      <c r="BF348">
        <v>1098.8439000000001</v>
      </c>
      <c r="BG348">
        <v>692.13689999999997</v>
      </c>
    </row>
    <row r="349" spans="35:59" x14ac:dyDescent="0.3">
      <c r="AI349">
        <v>1184</v>
      </c>
      <c r="AJ349">
        <v>1097</v>
      </c>
      <c r="AK349">
        <v>731</v>
      </c>
      <c r="AL349">
        <v>1186.0272</v>
      </c>
      <c r="AM349">
        <v>1098.8678</v>
      </c>
      <c r="AN349">
        <v>716.15499999999997</v>
      </c>
      <c r="AO349">
        <f t="shared" si="11"/>
        <v>10</v>
      </c>
      <c r="AU349" cm="1">
        <f t="array" ref="AU349">IF($AO349="","", $AL349 - INDEX($AS$2:$AS$11,$AO349))</f>
        <v>39.961013157894513</v>
      </c>
      <c r="AV349" cm="1">
        <f t="array" ref="AV349">IF($AO349="","", $AM349 - INDEX($AT$2:$AT$11,$AO349))</f>
        <v>2.7095736842106817</v>
      </c>
      <c r="AW349">
        <f t="shared" si="12"/>
        <v>108.27730964702776</v>
      </c>
      <c r="BB349">
        <v>1186</v>
      </c>
      <c r="BC349">
        <v>1097</v>
      </c>
      <c r="BD349">
        <v>622</v>
      </c>
      <c r="BE349">
        <v>1191.4356</v>
      </c>
      <c r="BF349">
        <v>1098.3902</v>
      </c>
      <c r="BG349">
        <v>616.39499999999998</v>
      </c>
    </row>
    <row r="350" spans="35:59" x14ac:dyDescent="0.3">
      <c r="AI350">
        <v>1187</v>
      </c>
      <c r="AJ350">
        <v>1098</v>
      </c>
      <c r="AK350">
        <v>652</v>
      </c>
      <c r="AL350">
        <v>1189.3858</v>
      </c>
      <c r="AM350">
        <v>1098.5063</v>
      </c>
      <c r="AN350">
        <v>642.35230000000001</v>
      </c>
      <c r="AO350">
        <f t="shared" si="11"/>
        <v>10</v>
      </c>
      <c r="AU350" cm="1">
        <f t="array" ref="AU350">IF($AO350="","", $AL350 - INDEX($AS$2:$AS$11,$AO350))</f>
        <v>43.319613157894537</v>
      </c>
      <c r="AV350" cm="1">
        <f t="array" ref="AV350">IF($AO350="","", $AM350 - INDEX($AT$2:$AT$11,$AO350))</f>
        <v>2.3480736842107035</v>
      </c>
      <c r="AW350">
        <f t="shared" si="12"/>
        <v>101.71764366623989</v>
      </c>
      <c r="BB350">
        <v>1191</v>
      </c>
      <c r="BC350">
        <v>1095</v>
      </c>
      <c r="BD350">
        <v>549</v>
      </c>
      <c r="BE350">
        <v>1193.4648999999999</v>
      </c>
      <c r="BF350">
        <v>1097.8641</v>
      </c>
      <c r="BG350">
        <v>554.24350000000004</v>
      </c>
    </row>
    <row r="351" spans="35:59" x14ac:dyDescent="0.3">
      <c r="AI351">
        <v>1192</v>
      </c>
      <c r="AJ351">
        <v>1098</v>
      </c>
      <c r="AK351">
        <v>587</v>
      </c>
      <c r="AL351">
        <v>1191.4965</v>
      </c>
      <c r="AM351">
        <v>1098.0788</v>
      </c>
      <c r="AN351">
        <v>581.54729999999995</v>
      </c>
      <c r="AO351">
        <f t="shared" si="11"/>
        <v>10</v>
      </c>
      <c r="AU351" cm="1">
        <f t="array" ref="AU351">IF($AO351="","", $AL351 - INDEX($AS$2:$AS$11,$AO351))</f>
        <v>45.430313157894489</v>
      </c>
      <c r="AV351" cm="1">
        <f t="array" ref="AV351">IF($AO351="","", $AM351 - INDEX($AT$2:$AT$11,$AO351))</f>
        <v>1.9205736842106944</v>
      </c>
      <c r="AW351">
        <f t="shared" si="12"/>
        <v>87.252263916503011</v>
      </c>
      <c r="BB351">
        <v>1193</v>
      </c>
      <c r="BC351">
        <v>1096</v>
      </c>
      <c r="BD351">
        <v>493</v>
      </c>
      <c r="BE351">
        <v>1194.1395</v>
      </c>
      <c r="BF351">
        <v>1097.28</v>
      </c>
      <c r="BG351">
        <v>507.45979999999997</v>
      </c>
    </row>
    <row r="352" spans="35:59" x14ac:dyDescent="0.3">
      <c r="AI352">
        <v>1192</v>
      </c>
      <c r="AJ352">
        <v>1098</v>
      </c>
      <c r="AK352">
        <v>535</v>
      </c>
      <c r="AL352">
        <v>1192.2994000000001</v>
      </c>
      <c r="AM352">
        <v>1097.5977</v>
      </c>
      <c r="AN352">
        <v>535.48270000000002</v>
      </c>
      <c r="AO352">
        <f t="shared" si="11"/>
        <v>10</v>
      </c>
      <c r="AU352" cm="1">
        <f t="array" ref="AU352">IF($AO352="","", $AL352 - INDEX($AS$2:$AS$11,$AO352))</f>
        <v>46.233213157894625</v>
      </c>
      <c r="AV352" cm="1">
        <f t="array" ref="AV352">IF($AO352="","", $AM352 - INDEX($AT$2:$AT$11,$AO352))</f>
        <v>1.439473684210725</v>
      </c>
      <c r="AW352">
        <f t="shared" si="12"/>
        <v>66.551493677294346</v>
      </c>
      <c r="BB352">
        <v>1193</v>
      </c>
      <c r="BC352">
        <v>1093</v>
      </c>
      <c r="BD352">
        <v>462</v>
      </c>
      <c r="BE352">
        <v>1193.4407000000001</v>
      </c>
      <c r="BF352">
        <v>1096.6541</v>
      </c>
      <c r="BG352">
        <v>477.3818</v>
      </c>
    </row>
    <row r="353" spans="35:59" x14ac:dyDescent="0.3">
      <c r="AI353">
        <v>1191</v>
      </c>
      <c r="AJ353">
        <v>1097</v>
      </c>
      <c r="AK353">
        <v>494</v>
      </c>
      <c r="AL353">
        <v>1191.7719999999999</v>
      </c>
      <c r="AM353">
        <v>1097.0771</v>
      </c>
      <c r="AN353">
        <v>505.4776</v>
      </c>
      <c r="AO353">
        <f t="shared" si="11"/>
        <v>10</v>
      </c>
      <c r="AU353" cm="1">
        <f t="array" ref="AU353">IF($AO353="","", $AL353 - INDEX($AS$2:$AS$11,$AO353))</f>
        <v>45.705813157894454</v>
      </c>
      <c r="AV353" cm="1">
        <f t="array" ref="AV353">IF($AO353="","", $AM353 - INDEX($AT$2:$AT$11,$AO353))</f>
        <v>0.9188736842106664</v>
      </c>
      <c r="AW353">
        <f t="shared" si="12"/>
        <v>41.99786892623883</v>
      </c>
      <c r="BB353">
        <v>1191</v>
      </c>
      <c r="BC353">
        <v>1095</v>
      </c>
      <c r="BD353">
        <v>450</v>
      </c>
      <c r="BE353">
        <v>1191.3886</v>
      </c>
      <c r="BF353">
        <v>1096.0035</v>
      </c>
      <c r="BG353">
        <v>464.86939999999998</v>
      </c>
    </row>
    <row r="354" spans="35:59" x14ac:dyDescent="0.3">
      <c r="AI354">
        <v>1190</v>
      </c>
      <c r="AJ354">
        <v>1095</v>
      </c>
      <c r="AK354">
        <v>483</v>
      </c>
      <c r="AL354">
        <v>1189.9295999999999</v>
      </c>
      <c r="AM354">
        <v>1096.5317</v>
      </c>
      <c r="AN354">
        <v>492.38959999999997</v>
      </c>
      <c r="AO354">
        <f t="shared" si="11"/>
        <v>10</v>
      </c>
      <c r="AU354" cm="1">
        <f t="array" ref="AU354">IF($AO354="","", $AL354 - INDEX($AS$2:$AS$11,$AO354))</f>
        <v>43.863413157894456</v>
      </c>
      <c r="AV354" cm="1">
        <f t="array" ref="AV354">IF($AO354="","", $AM354 - INDEX($AT$2:$AT$11,$AO354))</f>
        <v>0.37347368421069405</v>
      </c>
      <c r="AW354">
        <f t="shared" si="12"/>
        <v>16.381830514134677</v>
      </c>
      <c r="BB354">
        <v>1188</v>
      </c>
      <c r="BC354">
        <v>1094</v>
      </c>
      <c r="BD354">
        <v>462</v>
      </c>
      <c r="BE354">
        <v>1188.0424</v>
      </c>
      <c r="BF354">
        <v>1095.3463999999999</v>
      </c>
      <c r="BG354">
        <v>470.2801</v>
      </c>
    </row>
    <row r="355" spans="35:59" x14ac:dyDescent="0.3">
      <c r="AI355">
        <v>1182</v>
      </c>
      <c r="AJ355">
        <v>1095</v>
      </c>
      <c r="AK355">
        <v>490</v>
      </c>
      <c r="AL355">
        <v>1186.8254999999999</v>
      </c>
      <c r="AM355">
        <v>1095.9771000000001</v>
      </c>
      <c r="AN355">
        <v>496.59039999999999</v>
      </c>
      <c r="AO355">
        <f t="shared" si="11"/>
        <v>10</v>
      </c>
      <c r="AU355" cm="1">
        <f t="array" ref="AU355">IF($AO355="","", $AL355 - INDEX($AS$2:$AS$11,$AO355))</f>
        <v>40.759313157894439</v>
      </c>
      <c r="AV355" cm="1">
        <f t="array" ref="AV355">IF($AO355="","", $AM355 - INDEX($AT$2:$AT$11,$AO355))</f>
        <v>-0.18112631578924265</v>
      </c>
      <c r="AW355">
        <f t="shared" si="12"/>
        <v>-7.3825842263894215</v>
      </c>
      <c r="BB355">
        <v>1185</v>
      </c>
      <c r="BC355">
        <v>1094</v>
      </c>
      <c r="BD355">
        <v>492</v>
      </c>
      <c r="BE355">
        <v>1183.4981</v>
      </c>
      <c r="BF355">
        <v>1094.7008000000001</v>
      </c>
      <c r="BG355">
        <v>493.45890000000003</v>
      </c>
    </row>
    <row r="356" spans="35:59" x14ac:dyDescent="0.3">
      <c r="AI356">
        <v>1182</v>
      </c>
      <c r="AJ356">
        <v>1096</v>
      </c>
      <c r="AK356">
        <v>515</v>
      </c>
      <c r="AL356">
        <v>1182.5486000000001</v>
      </c>
      <c r="AM356">
        <v>1095.4291000000001</v>
      </c>
      <c r="AN356">
        <v>517.95579999999995</v>
      </c>
      <c r="AO356">
        <f t="shared" si="11"/>
        <v>10</v>
      </c>
      <c r="AU356" cm="1">
        <f t="array" ref="AU356">IF($AO356="","", $AL356 - INDEX($AS$2:$AS$11,$AO356))</f>
        <v>36.482413157894598</v>
      </c>
      <c r="AV356" cm="1">
        <f t="array" ref="AV356">IF($AO356="","", $AM356 - INDEX($AT$2:$AT$11,$AO356))</f>
        <v>-0.72912631578924447</v>
      </c>
      <c r="AW356">
        <f t="shared" si="12"/>
        <v>-26.600287496916746</v>
      </c>
      <c r="BB356">
        <v>1178</v>
      </c>
      <c r="BC356">
        <v>1094</v>
      </c>
      <c r="BD356">
        <v>534</v>
      </c>
      <c r="BE356">
        <v>1177.8858</v>
      </c>
      <c r="BF356">
        <v>1094.0848000000001</v>
      </c>
      <c r="BG356">
        <v>533.74220000000003</v>
      </c>
    </row>
    <row r="357" spans="35:59" x14ac:dyDescent="0.3">
      <c r="AI357">
        <v>1178</v>
      </c>
      <c r="AJ357">
        <v>1096</v>
      </c>
      <c r="AK357">
        <v>552</v>
      </c>
      <c r="AL357">
        <v>1177.2216000000001</v>
      </c>
      <c r="AM357">
        <v>1094.9031</v>
      </c>
      <c r="AN357">
        <v>555.86860000000001</v>
      </c>
      <c r="AO357">
        <f t="shared" si="11"/>
        <v>10</v>
      </c>
      <c r="AU357" cm="1">
        <f t="array" ref="AU357">IF($AO357="","", $AL357 - INDEX($AS$2:$AS$11,$AO357))</f>
        <v>31.1554131578946</v>
      </c>
      <c r="AV357" cm="1">
        <f t="array" ref="AV357">IF($AO357="","", $AM357 - INDEX($AT$2:$AT$11,$AO357))</f>
        <v>-1.2551263157893118</v>
      </c>
      <c r="AW357">
        <f t="shared" si="12"/>
        <v>-39.1039789337621</v>
      </c>
      <c r="BB357">
        <v>1171</v>
      </c>
      <c r="BC357">
        <v>1093</v>
      </c>
      <c r="BD357">
        <v>581</v>
      </c>
      <c r="BE357">
        <v>1171.3662999999999</v>
      </c>
      <c r="BF357">
        <v>1093.5155</v>
      </c>
      <c r="BG357">
        <v>589.97760000000005</v>
      </c>
    </row>
    <row r="358" spans="35:59" x14ac:dyDescent="0.3">
      <c r="AI358">
        <v>1170</v>
      </c>
      <c r="AJ358">
        <v>1091</v>
      </c>
      <c r="AK358">
        <v>598</v>
      </c>
      <c r="AL358">
        <v>1170.9971</v>
      </c>
      <c r="AM358">
        <v>1094.4139</v>
      </c>
      <c r="AN358">
        <v>609.23710000000005</v>
      </c>
      <c r="AO358">
        <f t="shared" si="11"/>
        <v>10</v>
      </c>
      <c r="AU358" cm="1">
        <f t="array" ref="AU358">IF($AO358="","", $AL358 - INDEX($AS$2:$AS$11,$AO358))</f>
        <v>24.930913157894565</v>
      </c>
      <c r="AV358" cm="1">
        <f t="array" ref="AV358">IF($AO358="","", $AM358 - INDEX($AT$2:$AT$11,$AO358))</f>
        <v>-1.7443263157892943</v>
      </c>
      <c r="AW358">
        <f t="shared" si="12"/>
        <v>-43.487647897973069</v>
      </c>
      <c r="BB358">
        <v>1166</v>
      </c>
      <c r="BC358">
        <v>1093</v>
      </c>
      <c r="BD358">
        <v>648</v>
      </c>
      <c r="BE358">
        <v>1164.126</v>
      </c>
      <c r="BF358">
        <v>1093.0088000000001</v>
      </c>
      <c r="BG358">
        <v>660.55640000000005</v>
      </c>
    </row>
    <row r="359" spans="35:59" x14ac:dyDescent="0.3">
      <c r="AI359">
        <v>1163</v>
      </c>
      <c r="AJ359">
        <v>1094</v>
      </c>
      <c r="AK359">
        <v>662</v>
      </c>
      <c r="AL359">
        <v>1164.0535</v>
      </c>
      <c r="AM359">
        <v>1093.9752000000001</v>
      </c>
      <c r="AN359">
        <v>676.52620000000002</v>
      </c>
      <c r="AO359">
        <f t="shared" si="11"/>
        <v>10</v>
      </c>
      <c r="AU359" cm="1">
        <f t="array" ref="AU359">IF($AO359="","", $AL359 - INDEX($AS$2:$AS$11,$AO359))</f>
        <v>17.987313157894505</v>
      </c>
      <c r="AV359" cm="1">
        <f t="array" ref="AV359">IF($AO359="","", $AM359 - INDEX($AT$2:$AT$11,$AO359))</f>
        <v>-2.1830263157892205</v>
      </c>
      <c r="AW359">
        <f t="shared" si="12"/>
        <v>-39.266777974025409</v>
      </c>
      <c r="BB359">
        <v>1156</v>
      </c>
      <c r="BC359">
        <v>1092</v>
      </c>
      <c r="BD359">
        <v>719</v>
      </c>
      <c r="BE359">
        <v>1156.3719000000001</v>
      </c>
      <c r="BF359">
        <v>1092.5786000000001</v>
      </c>
      <c r="BG359">
        <v>743.4597</v>
      </c>
    </row>
    <row r="360" spans="35:59" x14ac:dyDescent="0.3">
      <c r="AI360">
        <v>1158</v>
      </c>
      <c r="AJ360">
        <v>1093</v>
      </c>
      <c r="AK360">
        <v>734</v>
      </c>
      <c r="AL360">
        <v>1156.5893000000001</v>
      </c>
      <c r="AM360">
        <v>1093.5989999999999</v>
      </c>
      <c r="AN360">
        <v>755.80169999999998</v>
      </c>
      <c r="AO360">
        <f t="shared" si="11"/>
        <v>10</v>
      </c>
      <c r="AU360" cm="1">
        <f t="array" ref="AU360">IF($AO360="","", $AL360 - INDEX($AS$2:$AS$11,$AO360))</f>
        <v>10.523113157894613</v>
      </c>
      <c r="AV360" cm="1">
        <f t="array" ref="AV360">IF($AO360="","", $AM360 - INDEX($AT$2:$AT$11,$AO360))</f>
        <v>-2.559226315789374</v>
      </c>
      <c r="AW360">
        <f t="shared" si="12"/>
        <v>-26.931028117713318</v>
      </c>
      <c r="BB360">
        <v>1149</v>
      </c>
      <c r="BC360">
        <v>1092</v>
      </c>
      <c r="BD360">
        <v>805</v>
      </c>
      <c r="BE360">
        <v>1148.3258000000001</v>
      </c>
      <c r="BF360">
        <v>1092.2371000000001</v>
      </c>
      <c r="BG360">
        <v>836.31629999999996</v>
      </c>
    </row>
    <row r="361" spans="35:59" x14ac:dyDescent="0.3">
      <c r="AI361">
        <v>1152</v>
      </c>
      <c r="AJ361">
        <v>1092</v>
      </c>
      <c r="AK361">
        <v>812</v>
      </c>
      <c r="AL361">
        <v>1148.8184000000001</v>
      </c>
      <c r="AM361">
        <v>1093.2958000000001</v>
      </c>
      <c r="AN361">
        <v>844.78560000000004</v>
      </c>
      <c r="AO361">
        <f t="shared" si="11"/>
        <v>10</v>
      </c>
      <c r="AU361" cm="1">
        <f t="array" ref="AU361">IF($AO361="","", $AL361 - INDEX($AS$2:$AS$11,$AO361))</f>
        <v>2.7522131578946301</v>
      </c>
      <c r="AV361" cm="1">
        <f t="array" ref="AV361">IF($AO361="","", $AM361 - INDEX($AT$2:$AT$11,$AO361))</f>
        <v>-2.8624263157892074</v>
      </c>
      <c r="AW361">
        <f t="shared" si="12"/>
        <v>-7.8780073698189064</v>
      </c>
      <c r="BB361">
        <v>1143</v>
      </c>
      <c r="BC361">
        <v>1092</v>
      </c>
      <c r="BD361">
        <v>901</v>
      </c>
      <c r="BE361">
        <v>1140.2175</v>
      </c>
      <c r="BF361">
        <v>1091.9937</v>
      </c>
      <c r="BG361">
        <v>936.47029999999995</v>
      </c>
    </row>
    <row r="362" spans="35:59" x14ac:dyDescent="0.3">
      <c r="AI362">
        <v>1144</v>
      </c>
      <c r="AJ362">
        <v>1094</v>
      </c>
      <c r="AK362">
        <v>903</v>
      </c>
      <c r="AL362">
        <v>1140.9630999999999</v>
      </c>
      <c r="AM362">
        <v>1093.0736999999999</v>
      </c>
      <c r="AN362">
        <v>940.92169999999999</v>
      </c>
      <c r="AO362">
        <f t="shared" si="11"/>
        <v>10</v>
      </c>
      <c r="AU362" cm="1">
        <f t="array" ref="AU362">IF($AO362="","", $AL362 - INDEX($AS$2:$AS$11,$AO362))</f>
        <v>-5.1030868421055402</v>
      </c>
      <c r="AV362" cm="1">
        <f t="array" ref="AV362">IF($AO362="","", $AM362 - INDEX($AT$2:$AT$11,$AO362))</f>
        <v>-3.0845263157893896</v>
      </c>
      <c r="AW362">
        <f t="shared" si="12"/>
        <v>15.740605656233113</v>
      </c>
      <c r="BB362">
        <v>1134</v>
      </c>
      <c r="BC362">
        <v>1090</v>
      </c>
      <c r="BD362">
        <v>998</v>
      </c>
      <c r="BE362">
        <v>1132.2786000000001</v>
      </c>
      <c r="BF362">
        <v>1091.855</v>
      </c>
      <c r="BG362">
        <v>1041.0569</v>
      </c>
    </row>
    <row r="363" spans="35:59" x14ac:dyDescent="0.3">
      <c r="AI363">
        <v>1134</v>
      </c>
      <c r="AJ363">
        <v>1091</v>
      </c>
      <c r="AK363">
        <v>995</v>
      </c>
      <c r="AL363">
        <v>1133.2481</v>
      </c>
      <c r="AM363">
        <v>1092.9386</v>
      </c>
      <c r="AN363">
        <v>1041.4489000000001</v>
      </c>
      <c r="AO363">
        <f t="shared" si="11"/>
        <v>10</v>
      </c>
      <c r="AU363" cm="1">
        <f t="array" ref="AU363">IF($AO363="","", $AL363 - INDEX($AS$2:$AS$11,$AO363))</f>
        <v>-12.818086842105458</v>
      </c>
      <c r="AV363" cm="1">
        <f t="array" ref="AV363">IF($AO363="","", $AM363 - INDEX($AT$2:$AT$11,$AO363))</f>
        <v>-3.2196263157893554</v>
      </c>
      <c r="AW363">
        <f t="shared" si="12"/>
        <v>41.269449714916007</v>
      </c>
      <c r="BB363">
        <v>1126</v>
      </c>
      <c r="BC363">
        <v>1092</v>
      </c>
      <c r="BD363">
        <v>1103</v>
      </c>
      <c r="BE363">
        <v>1124.7357</v>
      </c>
      <c r="BF363">
        <v>1091.8249000000001</v>
      </c>
      <c r="BG363">
        <v>1147.0849000000001</v>
      </c>
    </row>
    <row r="364" spans="35:59" x14ac:dyDescent="0.3">
      <c r="AI364">
        <v>1128</v>
      </c>
      <c r="AJ364">
        <v>1091</v>
      </c>
      <c r="AK364">
        <v>1098</v>
      </c>
      <c r="AL364">
        <v>1125.8942</v>
      </c>
      <c r="AM364">
        <v>1092.8939</v>
      </c>
      <c r="AN364">
        <v>1143.4802</v>
      </c>
      <c r="AO364">
        <f t="shared" si="11"/>
        <v>10</v>
      </c>
      <c r="AU364" cm="1">
        <f t="array" ref="AU364">IF($AO364="","", $AL364 - INDEX($AS$2:$AS$11,$AO364))</f>
        <v>-20.171986842105525</v>
      </c>
      <c r="AV364" cm="1">
        <f t="array" ref="AV364">IF($AO364="","", $AM364 - INDEX($AT$2:$AT$11,$AO364))</f>
        <v>-3.2643263157892761</v>
      </c>
      <c r="AW364">
        <f t="shared" si="12"/>
        <v>65.847947490440077</v>
      </c>
      <c r="BB364">
        <v>1115</v>
      </c>
      <c r="BC364">
        <v>1093</v>
      </c>
      <c r="BD364">
        <v>1311</v>
      </c>
      <c r="BE364">
        <v>1117.8041000000001</v>
      </c>
      <c r="BF364">
        <v>1091.9041</v>
      </c>
      <c r="BG364">
        <v>1251.5216</v>
      </c>
    </row>
    <row r="365" spans="35:59" x14ac:dyDescent="0.3">
      <c r="AI365">
        <v>1114</v>
      </c>
      <c r="AJ365">
        <v>1093</v>
      </c>
      <c r="AK365">
        <v>1302</v>
      </c>
      <c r="AL365">
        <v>1119.1117999999999</v>
      </c>
      <c r="AM365">
        <v>1092.9402</v>
      </c>
      <c r="AN365">
        <v>1244.0857000000001</v>
      </c>
      <c r="AO365">
        <f t="shared" si="11"/>
        <v>10</v>
      </c>
      <c r="AU365" cm="1">
        <f t="array" ref="AU365">IF($AO365="","", $AL365 - INDEX($AS$2:$AS$11,$AO365))</f>
        <v>-26.954386842105578</v>
      </c>
      <c r="AV365" cm="1">
        <f t="array" ref="AV365">IF($AO365="","", $AM365 - INDEX($AT$2:$AT$11,$AO365))</f>
        <v>-3.2180263157893023</v>
      </c>
      <c r="AW365">
        <f t="shared" si="12"/>
        <v>86.739926183860661</v>
      </c>
      <c r="BB365">
        <v>1106</v>
      </c>
      <c r="BC365">
        <v>1092</v>
      </c>
      <c r="BD365">
        <v>1380</v>
      </c>
      <c r="BE365">
        <v>1111.6813999999999</v>
      </c>
      <c r="BF365">
        <v>1092.0899999999999</v>
      </c>
      <c r="BG365">
        <v>1351.3797</v>
      </c>
    </row>
    <row r="366" spans="35:59" x14ac:dyDescent="0.3">
      <c r="AI366">
        <v>1109</v>
      </c>
      <c r="AJ366">
        <v>1092</v>
      </c>
      <c r="AK366">
        <v>1367</v>
      </c>
      <c r="AL366">
        <v>1113.0949000000001</v>
      </c>
      <c r="AM366">
        <v>1093.0757000000001</v>
      </c>
      <c r="AN366">
        <v>1340.3761</v>
      </c>
      <c r="AO366">
        <f t="shared" si="11"/>
        <v>10</v>
      </c>
      <c r="AU366" cm="1">
        <f t="array" ref="AU366">IF($AO366="","", $AL366 - INDEX($AS$2:$AS$11,$AO366))</f>
        <v>-32.971286842105428</v>
      </c>
      <c r="AV366" cm="1">
        <f t="array" ref="AV366">IF($AO366="","", $AM366 - INDEX($AT$2:$AT$11,$AO366))</f>
        <v>-3.0825263157892095</v>
      </c>
      <c r="AW366">
        <f t="shared" si="12"/>
        <v>101.63485935622448</v>
      </c>
      <c r="BB366">
        <v>1102</v>
      </c>
      <c r="BC366">
        <v>1092</v>
      </c>
      <c r="BD366">
        <v>1471</v>
      </c>
      <c r="BE366">
        <v>1106.5422000000001</v>
      </c>
      <c r="BF366">
        <v>1092.3774000000001</v>
      </c>
      <c r="BG366">
        <v>1443.8027999999999</v>
      </c>
    </row>
    <row r="367" spans="35:59" x14ac:dyDescent="0.3">
      <c r="AI367">
        <v>1105</v>
      </c>
      <c r="AJ367">
        <v>1091</v>
      </c>
      <c r="AK367">
        <v>1454</v>
      </c>
      <c r="AL367">
        <v>1108.0157999999999</v>
      </c>
      <c r="AM367">
        <v>1093.296</v>
      </c>
      <c r="AN367">
        <v>1429.5862</v>
      </c>
      <c r="AO367">
        <f t="shared" si="11"/>
        <v>10</v>
      </c>
      <c r="AU367" cm="1">
        <f t="array" ref="AU367">IF($AO367="","", $AL367 - INDEX($AS$2:$AS$11,$AO367))</f>
        <v>-38.050386842105581</v>
      </c>
      <c r="AV367" cm="1">
        <f t="array" ref="AV367">IF($AO367="","", $AM367 - INDEX($AT$2:$AT$11,$AO367))</f>
        <v>-2.8622263157892576</v>
      </c>
      <c r="AW367">
        <f t="shared" si="12"/>
        <v>108.90881854543591</v>
      </c>
      <c r="BB367">
        <v>1100</v>
      </c>
      <c r="BC367">
        <v>1092</v>
      </c>
      <c r="BD367">
        <v>1563</v>
      </c>
      <c r="BE367">
        <v>1102.5326</v>
      </c>
      <c r="BF367">
        <v>1092.7579000000001</v>
      </c>
      <c r="BG367">
        <v>1526.1469999999999</v>
      </c>
    </row>
    <row r="368" spans="35:59" x14ac:dyDescent="0.3">
      <c r="AI368">
        <v>1099</v>
      </c>
      <c r="AJ368">
        <v>1094</v>
      </c>
      <c r="AK368">
        <v>1543</v>
      </c>
      <c r="AL368">
        <v>1104.0197000000001</v>
      </c>
      <c r="AM368">
        <v>1093.5942</v>
      </c>
      <c r="AN368">
        <v>1509.1532</v>
      </c>
      <c r="AO368">
        <f t="shared" si="11"/>
        <v>10</v>
      </c>
      <c r="AU368" cm="1">
        <f t="array" ref="AU368">IF($AO368="","", $AL368 - INDEX($AS$2:$AS$11,$AO368))</f>
        <v>-42.046486842105423</v>
      </c>
      <c r="AV368" cm="1">
        <f t="array" ref="AV368">IF($AO368="","", $AM368 - INDEX($AT$2:$AT$11,$AO368))</f>
        <v>-2.564026315789306</v>
      </c>
      <c r="AW368">
        <f t="shared" si="12"/>
        <v>107.80829874964709</v>
      </c>
      <c r="BB368">
        <v>1096</v>
      </c>
      <c r="BC368">
        <v>1091</v>
      </c>
      <c r="BD368">
        <v>1628</v>
      </c>
      <c r="BE368">
        <v>1099.7668000000001</v>
      </c>
      <c r="BF368">
        <v>1093.2206000000001</v>
      </c>
      <c r="BG368">
        <v>1596.0562</v>
      </c>
    </row>
    <row r="369" spans="35:59" x14ac:dyDescent="0.3">
      <c r="AI369">
        <v>1098</v>
      </c>
      <c r="AJ369">
        <v>1094</v>
      </c>
      <c r="AK369">
        <v>1607</v>
      </c>
      <c r="AL369">
        <v>1101.2209</v>
      </c>
      <c r="AM369">
        <v>1093.9612999999999</v>
      </c>
      <c r="AN369">
        <v>1576.7909999999999</v>
      </c>
      <c r="AO369">
        <f t="shared" si="11"/>
        <v>10</v>
      </c>
      <c r="AU369" cm="1">
        <f t="array" ref="AU369">IF($AO369="","", $AL369 - INDEX($AS$2:$AS$11,$AO369))</f>
        <v>-44.845286842105452</v>
      </c>
      <c r="AV369" cm="1">
        <f t="array" ref="AV369">IF($AO369="","", $AM369 - INDEX($AT$2:$AT$11,$AO369))</f>
        <v>-2.1969263157893693</v>
      </c>
      <c r="AW369">
        <f t="shared" si="12"/>
        <v>98.521790802544203</v>
      </c>
      <c r="BB369">
        <v>1095</v>
      </c>
      <c r="BC369">
        <v>1093</v>
      </c>
      <c r="BD369">
        <v>1687</v>
      </c>
      <c r="BE369">
        <v>1098.3231000000001</v>
      </c>
      <c r="BF369">
        <v>1093.7520999999999</v>
      </c>
      <c r="BG369">
        <v>1651.53</v>
      </c>
    </row>
    <row r="370" spans="35:59" x14ac:dyDescent="0.3">
      <c r="AI370">
        <v>1099</v>
      </c>
      <c r="AJ370">
        <v>1096</v>
      </c>
      <c r="AK370">
        <v>1662</v>
      </c>
      <c r="AL370">
        <v>1099.6996999999999</v>
      </c>
      <c r="AM370">
        <v>1094.3860999999999</v>
      </c>
      <c r="AN370">
        <v>1630.5547999999999</v>
      </c>
      <c r="AO370">
        <f t="shared" si="11"/>
        <v>10</v>
      </c>
      <c r="AU370" cm="1">
        <f t="array" ref="AU370">IF($AO370="","", $AL370 - INDEX($AS$2:$AS$11,$AO370))</f>
        <v>-46.366486842105587</v>
      </c>
      <c r="AV370" cm="1">
        <f t="array" ref="AV370">IF($AO370="","", $AM370 - INDEX($AT$2:$AT$11,$AO370))</f>
        <v>-1.7721263157893645</v>
      </c>
      <c r="AW370">
        <f t="shared" si="12"/>
        <v>82.167271503596623</v>
      </c>
      <c r="BB370">
        <v>1097</v>
      </c>
      <c r="BC370">
        <v>1093</v>
      </c>
      <c r="BD370">
        <v>1719</v>
      </c>
      <c r="BE370">
        <v>1098.2419</v>
      </c>
      <c r="BF370">
        <v>1094.3372999999999</v>
      </c>
      <c r="BG370">
        <v>1690.9803999999999</v>
      </c>
    </row>
    <row r="371" spans="35:59" x14ac:dyDescent="0.3">
      <c r="AI371">
        <v>1098</v>
      </c>
      <c r="AJ371">
        <v>1094</v>
      </c>
      <c r="AK371">
        <v>1699</v>
      </c>
      <c r="AL371">
        <v>1099.4994999999999</v>
      </c>
      <c r="AM371">
        <v>1094.856</v>
      </c>
      <c r="AN371">
        <v>1668.8974000000001</v>
      </c>
      <c r="AO371">
        <f t="shared" si="11"/>
        <v>10</v>
      </c>
      <c r="AU371" cm="1">
        <f t="array" ref="AU371">IF($AO371="","", $AL371 - INDEX($AS$2:$AS$11,$AO371))</f>
        <v>-46.566686842105582</v>
      </c>
      <c r="AV371" cm="1">
        <f t="array" ref="AV371">IF($AO371="","", $AM371 - INDEX($AT$2:$AT$11,$AO371))</f>
        <v>-1.3022263157893121</v>
      </c>
      <c r="AW371">
        <f t="shared" si="12"/>
        <v>60.640365044909792</v>
      </c>
      <c r="BB371">
        <v>1095</v>
      </c>
      <c r="BC371">
        <v>1094</v>
      </c>
      <c r="BD371">
        <v>1734</v>
      </c>
      <c r="BE371">
        <v>1099.5251000000001</v>
      </c>
      <c r="BF371">
        <v>1094.9594999999999</v>
      </c>
      <c r="BG371">
        <v>1713.2773</v>
      </c>
    </row>
    <row r="372" spans="35:59" x14ac:dyDescent="0.3">
      <c r="AI372">
        <v>1099</v>
      </c>
      <c r="AJ372">
        <v>1093</v>
      </c>
      <c r="AK372">
        <v>1714</v>
      </c>
      <c r="AL372">
        <v>1100.6264000000001</v>
      </c>
      <c r="AM372">
        <v>1095.357</v>
      </c>
      <c r="AN372">
        <v>1690.7132999999999</v>
      </c>
      <c r="AO372">
        <f t="shared" si="11"/>
        <v>10</v>
      </c>
      <c r="AU372" cm="1">
        <f t="array" ref="AU372">IF($AO372="","", $AL372 - INDEX($AS$2:$AS$11,$AO372))</f>
        <v>-45.439786842105377</v>
      </c>
      <c r="AV372" cm="1">
        <f t="array" ref="AV372">IF($AO372="","", $AM372 - INDEX($AT$2:$AT$11,$AO372))</f>
        <v>-0.80122631578933579</v>
      </c>
      <c r="AW372">
        <f t="shared" si="12"/>
        <v>36.407553001752831</v>
      </c>
      <c r="BB372">
        <v>1101</v>
      </c>
      <c r="BC372">
        <v>1094</v>
      </c>
      <c r="BD372">
        <v>1724</v>
      </c>
      <c r="BE372">
        <v>1102.1351</v>
      </c>
      <c r="BF372">
        <v>1095.6007999999999</v>
      </c>
      <c r="BG372">
        <v>1717.7809999999999</v>
      </c>
    </row>
    <row r="373" spans="35:59" x14ac:dyDescent="0.3">
      <c r="AI373">
        <v>1104</v>
      </c>
      <c r="AJ373">
        <v>1095</v>
      </c>
      <c r="AK373">
        <v>1710</v>
      </c>
      <c r="AL373">
        <v>1103.048</v>
      </c>
      <c r="AM373">
        <v>1095.8741</v>
      </c>
      <c r="AN373">
        <v>1695.37</v>
      </c>
      <c r="AO373">
        <f t="shared" si="11"/>
        <v>10</v>
      </c>
      <c r="AU373" cm="1">
        <f t="array" ref="AU373">IF($AO373="","", $AL373 - INDEX($AS$2:$AS$11,$AO373))</f>
        <v>-43.018186842105479</v>
      </c>
      <c r="AV373" cm="1">
        <f t="array" ref="AV373">IF($AO373="","", $AM373 - INDEX($AT$2:$AT$11,$AO373))</f>
        <v>-0.28412631578930814</v>
      </c>
      <c r="AW373">
        <f t="shared" si="12"/>
        <v>12.222598939383522</v>
      </c>
      <c r="BB373">
        <v>1105</v>
      </c>
      <c r="BC373">
        <v>1095</v>
      </c>
      <c r="BD373">
        <v>1695</v>
      </c>
      <c r="BE373">
        <v>1105.9967999999999</v>
      </c>
      <c r="BF373">
        <v>1096.2429999999999</v>
      </c>
      <c r="BG373">
        <v>1704.3603000000001</v>
      </c>
    </row>
    <row r="374" spans="35:59" x14ac:dyDescent="0.3">
      <c r="AI374">
        <v>1106</v>
      </c>
      <c r="AJ374">
        <v>1094</v>
      </c>
      <c r="AK374">
        <v>1682</v>
      </c>
      <c r="AL374">
        <v>1106.6954000000001</v>
      </c>
      <c r="AM374">
        <v>1096.3922</v>
      </c>
      <c r="AN374">
        <v>1682.7266</v>
      </c>
      <c r="AO374">
        <f t="shared" si="11"/>
        <v>10</v>
      </c>
      <c r="AU374" cm="1">
        <f t="array" ref="AU374">IF($AO374="","", $AL374 - INDEX($AS$2:$AS$11,$AO374))</f>
        <v>-39.370786842105417</v>
      </c>
      <c r="AV374" cm="1">
        <f t="array" ref="AV374">IF($AO374="","", $AM374 - INDEX($AT$2:$AT$11,$AO374))</f>
        <v>0.23397368421069586</v>
      </c>
      <c r="AW374">
        <f t="shared" si="12"/>
        <v>-9.2117280477213921</v>
      </c>
      <c r="BB374">
        <v>1115</v>
      </c>
      <c r="BC374">
        <v>1097</v>
      </c>
      <c r="BD374">
        <v>1658</v>
      </c>
      <c r="BE374">
        <v>1110.9992</v>
      </c>
      <c r="BF374">
        <v>1096.8679</v>
      </c>
      <c r="BG374">
        <v>1673.3965000000001</v>
      </c>
    </row>
    <row r="375" spans="35:59" x14ac:dyDescent="0.3">
      <c r="AI375">
        <v>1110</v>
      </c>
      <c r="AJ375">
        <v>1095</v>
      </c>
      <c r="AK375">
        <v>1642</v>
      </c>
      <c r="AL375">
        <v>1111.4643000000001</v>
      </c>
      <c r="AM375">
        <v>1096.8957</v>
      </c>
      <c r="AN375">
        <v>1653.1373000000001</v>
      </c>
      <c r="AO375">
        <f t="shared" si="11"/>
        <v>10</v>
      </c>
      <c r="AU375" cm="1">
        <f t="array" ref="AU375">IF($AO375="","", $AL375 - INDEX($AS$2:$AS$11,$AO375))</f>
        <v>-34.601886842105387</v>
      </c>
      <c r="AV375" cm="1">
        <f t="array" ref="AV375">IF($AO375="","", $AM375 - INDEX($AT$2:$AT$11,$AO375))</f>
        <v>0.73747368421072679</v>
      </c>
      <c r="AW375">
        <f t="shared" si="12"/>
        <v>-25.517980970090129</v>
      </c>
      <c r="BB375">
        <v>1117</v>
      </c>
      <c r="BC375">
        <v>1095</v>
      </c>
      <c r="BD375">
        <v>1605</v>
      </c>
      <c r="BE375">
        <v>1116.9985999999999</v>
      </c>
      <c r="BF375">
        <v>1097.4576</v>
      </c>
      <c r="BG375">
        <v>1625.7723000000001</v>
      </c>
    </row>
    <row r="376" spans="35:59" x14ac:dyDescent="0.3">
      <c r="AI376">
        <v>1117</v>
      </c>
      <c r="AJ376">
        <v>1097</v>
      </c>
      <c r="AK376">
        <v>1592</v>
      </c>
      <c r="AL376">
        <v>1117.2184</v>
      </c>
      <c r="AM376">
        <v>1097.3697</v>
      </c>
      <c r="AN376">
        <v>1607.4418000000001</v>
      </c>
      <c r="AO376">
        <f t="shared" si="11"/>
        <v>10</v>
      </c>
      <c r="AU376" cm="1">
        <f t="array" ref="AU376">IF($AO376="","", $AL376 - INDEX($AS$2:$AS$11,$AO376))</f>
        <v>-28.847786842105506</v>
      </c>
      <c r="AV376" cm="1">
        <f t="array" ref="AV376">IF($AO376="","", $AM376 - INDEX($AT$2:$AT$11,$AO376))</f>
        <v>1.2114736842106595</v>
      </c>
      <c r="AW376">
        <f t="shared" si="12"/>
        <v>-34.948334606929343</v>
      </c>
      <c r="BB376">
        <v>1123</v>
      </c>
      <c r="BC376">
        <v>1095</v>
      </c>
      <c r="BD376">
        <v>1543</v>
      </c>
      <c r="BE376">
        <v>1123.8231000000001</v>
      </c>
      <c r="BF376">
        <v>1097.9955</v>
      </c>
      <c r="BG376">
        <v>1562.8467000000001</v>
      </c>
    </row>
    <row r="377" spans="35:59" x14ac:dyDescent="0.3">
      <c r="AI377">
        <v>1120</v>
      </c>
      <c r="AJ377">
        <v>1097</v>
      </c>
      <c r="AK377">
        <v>1528</v>
      </c>
      <c r="AL377">
        <v>1123.7934</v>
      </c>
      <c r="AM377">
        <v>1097.8001999999999</v>
      </c>
      <c r="AN377">
        <v>1546.9408000000001</v>
      </c>
      <c r="AO377">
        <f t="shared" si="11"/>
        <v>10</v>
      </c>
      <c r="AU377" cm="1">
        <f t="array" ref="AU377">IF($AO377="","", $AL377 - INDEX($AS$2:$AS$11,$AO377))</f>
        <v>-22.272786842105461</v>
      </c>
      <c r="AV377" cm="1">
        <f t="array" ref="AV377">IF($AO377="","", $AM377 - INDEX($AT$2:$AT$11,$AO377))</f>
        <v>1.6419736842105976</v>
      </c>
      <c r="AW377">
        <f t="shared" si="12"/>
        <v>-36.571329868769226</v>
      </c>
      <c r="BB377">
        <v>1132</v>
      </c>
      <c r="BC377">
        <v>1098</v>
      </c>
      <c r="BD377">
        <v>1470</v>
      </c>
      <c r="BE377">
        <v>1131.2772</v>
      </c>
      <c r="BF377">
        <v>1098.4662000000001</v>
      </c>
      <c r="BG377">
        <v>1486.4163000000001</v>
      </c>
    </row>
    <row r="378" spans="35:59" x14ac:dyDescent="0.3">
      <c r="AI378">
        <v>1131</v>
      </c>
      <c r="AJ378">
        <v>1098</v>
      </c>
      <c r="AK378">
        <v>1460</v>
      </c>
      <c r="AL378">
        <v>1131.0012999999999</v>
      </c>
      <c r="AM378">
        <v>1098.1742999999999</v>
      </c>
      <c r="AN378">
        <v>1473.3588999999999</v>
      </c>
      <c r="AO378">
        <f t="shared" si="11"/>
        <v>10</v>
      </c>
      <c r="AU378" cm="1">
        <f t="array" ref="AU378">IF($AO378="","", $AL378 - INDEX($AS$2:$AS$11,$AO378))</f>
        <v>-15.064886842105579</v>
      </c>
      <c r="AV378" cm="1">
        <f t="array" ref="AV378">IF($AO378="","", $AM378 - INDEX($AT$2:$AT$11,$AO378))</f>
        <v>2.0160736842105962</v>
      </c>
      <c r="AW378">
        <f t="shared" si="12"/>
        <v>-30.371921917979531</v>
      </c>
      <c r="BB378">
        <v>1140</v>
      </c>
      <c r="BC378">
        <v>1098</v>
      </c>
      <c r="BD378">
        <v>1388</v>
      </c>
      <c r="BE378">
        <v>1139.1475</v>
      </c>
      <c r="BF378">
        <v>1098.8567</v>
      </c>
      <c r="BG378">
        <v>1398.6639</v>
      </c>
    </row>
    <row r="379" spans="35:59" x14ac:dyDescent="0.3">
      <c r="AI379">
        <v>1139</v>
      </c>
      <c r="AJ379">
        <v>1098</v>
      </c>
      <c r="AK379">
        <v>1378</v>
      </c>
      <c r="AL379">
        <v>1138.6360999999999</v>
      </c>
      <c r="AM379">
        <v>1098.4808</v>
      </c>
      <c r="AN379">
        <v>1388.7954</v>
      </c>
      <c r="AO379">
        <f t="shared" si="11"/>
        <v>10</v>
      </c>
      <c r="AU379" cm="1">
        <f t="array" ref="AU379">IF($AO379="","", $AL379 - INDEX($AS$2:$AS$11,$AO379))</f>
        <v>-7.4300868421055384</v>
      </c>
      <c r="AV379" cm="1">
        <f t="array" ref="AV379">IF($AO379="","", $AM379 - INDEX($AT$2:$AT$11,$AO379))</f>
        <v>2.3225736842107381</v>
      </c>
      <c r="AW379">
        <f t="shared" si="12"/>
        <v>-17.25692417087479</v>
      </c>
      <c r="BB379">
        <v>1147</v>
      </c>
      <c r="BC379">
        <v>1098</v>
      </c>
      <c r="BD379">
        <v>1295</v>
      </c>
      <c r="BE379">
        <v>1147.2085999999999</v>
      </c>
      <c r="BF379">
        <v>1099.1559</v>
      </c>
      <c r="BG379">
        <v>1302.0962</v>
      </c>
    </row>
    <row r="380" spans="35:59" x14ac:dyDescent="0.3">
      <c r="AI380">
        <v>1149</v>
      </c>
      <c r="AJ380">
        <v>1099</v>
      </c>
      <c r="AK380">
        <v>1286</v>
      </c>
      <c r="AL380">
        <v>1146.4794999999999</v>
      </c>
      <c r="AM380">
        <v>1098.7103999999999</v>
      </c>
      <c r="AN380">
        <v>1295.6643999999999</v>
      </c>
      <c r="AO380">
        <f t="shared" si="11"/>
        <v>10</v>
      </c>
      <c r="AU380" cm="1">
        <f t="array" ref="AU380">IF($AO380="","", $AL380 - INDEX($AS$2:$AS$11,$AO380))</f>
        <v>0.41331315789443579</v>
      </c>
      <c r="AV380" cm="1">
        <f t="array" ref="AV380">IF($AO380="","", $AM380 - INDEX($AT$2:$AT$11,$AO380))</f>
        <v>2.5521736842106293</v>
      </c>
      <c r="AW380">
        <f t="shared" si="12"/>
        <v>1.0548469649161718</v>
      </c>
      <c r="BB380">
        <v>1156</v>
      </c>
      <c r="BC380">
        <v>1098</v>
      </c>
      <c r="BD380">
        <v>1195</v>
      </c>
      <c r="BE380">
        <v>1155.2299</v>
      </c>
      <c r="BF380">
        <v>1099.3556000000001</v>
      </c>
      <c r="BG380">
        <v>1199.4721999999999</v>
      </c>
    </row>
    <row r="381" spans="35:59" x14ac:dyDescent="0.3">
      <c r="AI381">
        <v>1154</v>
      </c>
      <c r="AJ381">
        <v>1097</v>
      </c>
      <c r="AK381">
        <v>1186</v>
      </c>
      <c r="AL381">
        <v>1154.3072999999999</v>
      </c>
      <c r="AM381">
        <v>1098.8561</v>
      </c>
      <c r="AN381">
        <v>1196.6251</v>
      </c>
      <c r="AO381">
        <f t="shared" si="11"/>
        <v>10</v>
      </c>
      <c r="AU381" cm="1">
        <f t="array" ref="AU381">IF($AO381="","", $AL381 - INDEX($AS$2:$AS$11,$AO381))</f>
        <v>8.2411131578944605</v>
      </c>
      <c r="AV381" cm="1">
        <f t="array" ref="AV381">IF($AO381="","", $AM381 - INDEX($AT$2:$AT$11,$AO381))</f>
        <v>2.6978736842106628</v>
      </c>
      <c r="AW381">
        <f t="shared" si="12"/>
        <v>22.233482317285699</v>
      </c>
      <c r="BB381">
        <v>1159</v>
      </c>
      <c r="BC381">
        <v>1098</v>
      </c>
      <c r="BD381">
        <v>1095</v>
      </c>
      <c r="BE381">
        <v>1162.9819</v>
      </c>
      <c r="BF381">
        <v>1099.4503</v>
      </c>
      <c r="BG381">
        <v>1093.7246</v>
      </c>
    </row>
    <row r="382" spans="35:59" x14ac:dyDescent="0.3">
      <c r="AI382">
        <v>1162</v>
      </c>
      <c r="AJ382">
        <v>1099</v>
      </c>
      <c r="AK382">
        <v>1091</v>
      </c>
      <c r="AL382">
        <v>1161.8956000000001</v>
      </c>
      <c r="AM382">
        <v>1098.9132</v>
      </c>
      <c r="AN382">
        <v>1094.5065</v>
      </c>
      <c r="BB382">
        <v>1180</v>
      </c>
      <c r="BC382">
        <v>1113</v>
      </c>
      <c r="BD382">
        <v>1015</v>
      </c>
      <c r="BE382">
        <v>1170.2429</v>
      </c>
      <c r="BF382">
        <v>1099.4376999999999</v>
      </c>
      <c r="BG382">
        <v>987.87549999999999</v>
      </c>
    </row>
    <row r="383" spans="35:59" x14ac:dyDescent="0.3">
      <c r="AI383">
        <v>1170</v>
      </c>
      <c r="AJ383">
        <v>1098</v>
      </c>
      <c r="AK383">
        <v>1000</v>
      </c>
      <c r="AL383">
        <v>1169.0273999999999</v>
      </c>
      <c r="AM383">
        <v>1098.8797999999999</v>
      </c>
      <c r="AN383">
        <v>992.22609999999997</v>
      </c>
      <c r="BB383">
        <v>1175</v>
      </c>
      <c r="BC383">
        <v>1098</v>
      </c>
      <c r="BD383">
        <v>891</v>
      </c>
      <c r="BE383">
        <v>1176.8052</v>
      </c>
      <c r="BF383">
        <v>1099.3184000000001</v>
      </c>
      <c r="BG383">
        <v>884.95090000000005</v>
      </c>
    </row>
    <row r="384" spans="35:59" x14ac:dyDescent="0.3">
      <c r="AI384">
        <v>1174</v>
      </c>
      <c r="AJ384">
        <v>1098</v>
      </c>
      <c r="AK384">
        <v>891</v>
      </c>
      <c r="AL384">
        <v>1175.4985999999999</v>
      </c>
      <c r="AM384">
        <v>1098.7565</v>
      </c>
      <c r="AN384">
        <v>892.70680000000004</v>
      </c>
      <c r="BB384">
        <v>1184</v>
      </c>
      <c r="BC384">
        <v>1098</v>
      </c>
      <c r="BD384">
        <v>805</v>
      </c>
      <c r="BE384">
        <v>1182.4811</v>
      </c>
      <c r="BF384">
        <v>1099.0961</v>
      </c>
      <c r="BG384">
        <v>787.89329999999995</v>
      </c>
    </row>
    <row r="385" spans="35:59" x14ac:dyDescent="0.3">
      <c r="AI385">
        <v>1179</v>
      </c>
      <c r="AJ385">
        <v>1098</v>
      </c>
      <c r="AK385">
        <v>818</v>
      </c>
      <c r="AL385">
        <v>1181.124</v>
      </c>
      <c r="AM385">
        <v>1098.5463999999999</v>
      </c>
      <c r="AN385">
        <v>798.79290000000003</v>
      </c>
      <c r="BB385">
        <v>1183</v>
      </c>
      <c r="BC385">
        <v>1097</v>
      </c>
      <c r="BD385">
        <v>707</v>
      </c>
      <c r="BE385">
        <v>1187.1083000000001</v>
      </c>
      <c r="BF385">
        <v>1098.7775999999999</v>
      </c>
      <c r="BG385">
        <v>699.47839999999997</v>
      </c>
    </row>
    <row r="386" spans="35:59" x14ac:dyDescent="0.3">
      <c r="AI386">
        <v>1186</v>
      </c>
      <c r="AJ386">
        <v>1099</v>
      </c>
      <c r="AK386">
        <v>723</v>
      </c>
      <c r="AL386">
        <v>1185.7427</v>
      </c>
      <c r="AM386">
        <v>1098.2553</v>
      </c>
      <c r="AN386">
        <v>713.16920000000005</v>
      </c>
      <c r="BB386">
        <v>1188</v>
      </c>
      <c r="BC386">
        <v>1097</v>
      </c>
      <c r="BD386">
        <v>626</v>
      </c>
      <c r="BE386">
        <v>1190.5543</v>
      </c>
      <c r="BF386">
        <v>1098.3723</v>
      </c>
      <c r="BG386">
        <v>622.2355</v>
      </c>
    </row>
    <row r="387" spans="35:59" x14ac:dyDescent="0.3">
      <c r="AI387">
        <v>1186</v>
      </c>
      <c r="AJ387">
        <v>1095</v>
      </c>
      <c r="AK387">
        <v>644</v>
      </c>
      <c r="AL387">
        <v>1189.2221999999999</v>
      </c>
      <c r="AM387">
        <v>1097.8914</v>
      </c>
      <c r="AN387">
        <v>638.28390000000002</v>
      </c>
      <c r="BB387">
        <v>1191</v>
      </c>
      <c r="BC387">
        <v>1097</v>
      </c>
      <c r="BD387">
        <v>555</v>
      </c>
      <c r="BE387">
        <v>1192.7204999999999</v>
      </c>
      <c r="BF387">
        <v>1097.8920000000001</v>
      </c>
      <c r="BG387">
        <v>558.37490000000003</v>
      </c>
    </row>
    <row r="388" spans="35:59" x14ac:dyDescent="0.3">
      <c r="AI388">
        <v>1192</v>
      </c>
      <c r="AJ388">
        <v>1098</v>
      </c>
      <c r="AK388">
        <v>581</v>
      </c>
      <c r="AL388">
        <v>1191.4628</v>
      </c>
      <c r="AM388">
        <v>1097.4648999999999</v>
      </c>
      <c r="AN388">
        <v>576.279</v>
      </c>
      <c r="BB388">
        <v>1191</v>
      </c>
      <c r="BC388">
        <v>1095</v>
      </c>
      <c r="BD388">
        <v>494</v>
      </c>
      <c r="BE388">
        <v>1193.5447999999999</v>
      </c>
      <c r="BF388">
        <v>1097.3507999999999</v>
      </c>
      <c r="BG388">
        <v>509.72539999999998</v>
      </c>
    </row>
    <row r="389" spans="35:59" x14ac:dyDescent="0.3">
      <c r="AI389">
        <v>1192</v>
      </c>
      <c r="AJ389">
        <v>1096</v>
      </c>
      <c r="AK389">
        <v>523</v>
      </c>
      <c r="AL389">
        <v>1192.4001000000001</v>
      </c>
      <c r="AM389">
        <v>1096.9881</v>
      </c>
      <c r="AN389">
        <v>528.9289</v>
      </c>
      <c r="BB389">
        <v>1191</v>
      </c>
      <c r="BC389">
        <v>1095</v>
      </c>
      <c r="BD389">
        <v>460</v>
      </c>
      <c r="BE389">
        <v>1193.0035</v>
      </c>
      <c r="BF389">
        <v>1096.7644</v>
      </c>
      <c r="BG389">
        <v>477.68119999999999</v>
      </c>
    </row>
    <row r="390" spans="35:59" x14ac:dyDescent="0.3">
      <c r="AI390">
        <v>1194</v>
      </c>
      <c r="AJ390">
        <v>1096</v>
      </c>
      <c r="AK390">
        <v>485</v>
      </c>
      <c r="AL390">
        <v>1192.0068000000001</v>
      </c>
      <c r="AM390">
        <v>1096.4747</v>
      </c>
      <c r="AN390">
        <v>497.58940000000001</v>
      </c>
      <c r="BB390">
        <v>1190</v>
      </c>
      <c r="BC390">
        <v>1094</v>
      </c>
      <c r="BD390">
        <v>448</v>
      </c>
      <c r="BE390">
        <v>1191.1116</v>
      </c>
      <c r="BF390">
        <v>1096.1496</v>
      </c>
      <c r="BG390">
        <v>463.16239999999999</v>
      </c>
    </row>
    <row r="391" spans="35:59" x14ac:dyDescent="0.3">
      <c r="AI391">
        <v>1190</v>
      </c>
      <c r="AJ391">
        <v>1095</v>
      </c>
      <c r="AK391">
        <v>471</v>
      </c>
      <c r="AL391">
        <v>1190.2936999999999</v>
      </c>
      <c r="AM391">
        <v>1095.9394</v>
      </c>
      <c r="AN391">
        <v>483.15949999999998</v>
      </c>
      <c r="BB391">
        <v>1183</v>
      </c>
      <c r="BC391">
        <v>1096</v>
      </c>
      <c r="BD391">
        <v>458</v>
      </c>
      <c r="BE391">
        <v>1187.923</v>
      </c>
      <c r="BF391">
        <v>1095.5242000000001</v>
      </c>
      <c r="BG391">
        <v>466.58859999999999</v>
      </c>
    </row>
    <row r="392" spans="35:59" x14ac:dyDescent="0.3">
      <c r="AI392">
        <v>1188</v>
      </c>
      <c r="AJ392">
        <v>1095</v>
      </c>
      <c r="AK392">
        <v>475</v>
      </c>
      <c r="AL392">
        <v>1187.3094000000001</v>
      </c>
      <c r="AM392">
        <v>1095.3978</v>
      </c>
      <c r="AN392">
        <v>486.05509999999998</v>
      </c>
      <c r="BB392">
        <v>1182</v>
      </c>
      <c r="BC392">
        <v>1093</v>
      </c>
      <c r="BD392">
        <v>484</v>
      </c>
      <c r="BE392">
        <v>1183.5283999999999</v>
      </c>
      <c r="BF392">
        <v>1094.9060999999999</v>
      </c>
      <c r="BG392">
        <v>487.86680000000001</v>
      </c>
    </row>
    <row r="393" spans="35:59" x14ac:dyDescent="0.3">
      <c r="AI393">
        <v>1184</v>
      </c>
      <c r="AJ393">
        <v>1094</v>
      </c>
      <c r="AK393">
        <v>497</v>
      </c>
      <c r="AL393">
        <v>1183.1387999999999</v>
      </c>
      <c r="AM393">
        <v>1094.8658</v>
      </c>
      <c r="AN393">
        <v>506.19740000000002</v>
      </c>
      <c r="BB393">
        <v>1179</v>
      </c>
      <c r="BC393">
        <v>1095</v>
      </c>
      <c r="BD393">
        <v>529</v>
      </c>
      <c r="BE393">
        <v>1178.0531000000001</v>
      </c>
      <c r="BF393">
        <v>1094.3130000000001</v>
      </c>
      <c r="BG393">
        <v>526.39350000000002</v>
      </c>
    </row>
    <row r="394" spans="35:59" x14ac:dyDescent="0.3">
      <c r="AI394">
        <v>1179</v>
      </c>
      <c r="AJ394">
        <v>1093</v>
      </c>
      <c r="AK394">
        <v>538</v>
      </c>
      <c r="AL394">
        <v>1177.9004</v>
      </c>
      <c r="AM394">
        <v>1094.3589999999999</v>
      </c>
      <c r="AN394">
        <v>543.01499999999999</v>
      </c>
      <c r="BB394">
        <v>1175</v>
      </c>
      <c r="BC394">
        <v>1093</v>
      </c>
      <c r="BD394">
        <v>574</v>
      </c>
      <c r="BE394">
        <v>1171.6531</v>
      </c>
      <c r="BF394">
        <v>1093.7617</v>
      </c>
      <c r="BG394">
        <v>581.07259999999997</v>
      </c>
    </row>
    <row r="395" spans="35:59" x14ac:dyDescent="0.3">
      <c r="AI395">
        <v>1171</v>
      </c>
      <c r="AJ395">
        <v>1091</v>
      </c>
      <c r="AK395">
        <v>585</v>
      </c>
      <c r="AL395">
        <v>1171.7438</v>
      </c>
      <c r="AM395">
        <v>1093.8923</v>
      </c>
      <c r="AN395">
        <v>595.46019999999999</v>
      </c>
      <c r="BB395">
        <v>1164</v>
      </c>
      <c r="BC395">
        <v>1091</v>
      </c>
      <c r="BD395">
        <v>637</v>
      </c>
      <c r="BE395">
        <v>1164.5108</v>
      </c>
      <c r="BF395">
        <v>1093.2677000000001</v>
      </c>
      <c r="BG395">
        <v>650.34580000000005</v>
      </c>
    </row>
    <row r="396" spans="35:59" x14ac:dyDescent="0.3">
      <c r="AI396">
        <v>1166</v>
      </c>
      <c r="AJ396">
        <v>1094</v>
      </c>
      <c r="AK396">
        <v>649</v>
      </c>
      <c r="AL396">
        <v>1164.8442</v>
      </c>
      <c r="AM396">
        <v>1093.4797000000001</v>
      </c>
      <c r="AN396">
        <v>662.03890000000001</v>
      </c>
      <c r="BB396">
        <v>1158</v>
      </c>
      <c r="BC396">
        <v>1092</v>
      </c>
      <c r="BD396">
        <v>711</v>
      </c>
      <c r="BE396">
        <v>1156.83</v>
      </c>
      <c r="BF396">
        <v>1092.845</v>
      </c>
      <c r="BG396">
        <v>732.23720000000003</v>
      </c>
    </row>
    <row r="397" spans="35:59" x14ac:dyDescent="0.3">
      <c r="AI397">
        <v>1154</v>
      </c>
      <c r="AJ397">
        <v>1095</v>
      </c>
      <c r="AK397">
        <v>718</v>
      </c>
      <c r="AL397">
        <v>1157.3987</v>
      </c>
      <c r="AM397">
        <v>1093.1337000000001</v>
      </c>
      <c r="AN397">
        <v>740.85299999999995</v>
      </c>
      <c r="BB397">
        <v>1153</v>
      </c>
      <c r="BC397">
        <v>1092</v>
      </c>
      <c r="BD397">
        <v>797</v>
      </c>
      <c r="BE397">
        <v>1148.8297</v>
      </c>
      <c r="BF397">
        <v>1092.5053</v>
      </c>
      <c r="BG397">
        <v>824.40980000000002</v>
      </c>
    </row>
    <row r="398" spans="35:59" x14ac:dyDescent="0.3">
      <c r="AI398">
        <v>1150</v>
      </c>
      <c r="AJ398">
        <v>1093</v>
      </c>
      <c r="AK398">
        <v>799</v>
      </c>
      <c r="AL398">
        <v>1149.6195</v>
      </c>
      <c r="AM398">
        <v>1092.8648000000001</v>
      </c>
      <c r="AN398">
        <v>829.65499999999997</v>
      </c>
      <c r="BB398">
        <v>1143</v>
      </c>
      <c r="BC398">
        <v>1093</v>
      </c>
      <c r="BD398">
        <v>887</v>
      </c>
      <c r="BE398">
        <v>1140.7381</v>
      </c>
      <c r="BF398">
        <v>1092.2578000000001</v>
      </c>
      <c r="BG398">
        <v>924.23220000000003</v>
      </c>
    </row>
    <row r="399" spans="35:59" x14ac:dyDescent="0.3">
      <c r="AI399">
        <v>1143</v>
      </c>
      <c r="AJ399">
        <v>1091</v>
      </c>
      <c r="AK399">
        <v>882</v>
      </c>
      <c r="AL399">
        <v>1141.7288000000001</v>
      </c>
      <c r="AM399">
        <v>1092.6814999999999</v>
      </c>
      <c r="AN399">
        <v>925.91150000000005</v>
      </c>
      <c r="BB399">
        <v>1136</v>
      </c>
      <c r="BC399">
        <v>1093</v>
      </c>
      <c r="BD399">
        <v>989</v>
      </c>
      <c r="BE399">
        <v>1132.7862</v>
      </c>
      <c r="BF399">
        <v>1092.1089999999999</v>
      </c>
      <c r="BG399">
        <v>1028.8530000000001</v>
      </c>
    </row>
    <row r="400" spans="35:59" x14ac:dyDescent="0.3">
      <c r="AI400">
        <v>1139</v>
      </c>
      <c r="AJ400">
        <v>1091</v>
      </c>
      <c r="AK400">
        <v>979</v>
      </c>
      <c r="AL400">
        <v>1133.9517000000001</v>
      </c>
      <c r="AM400">
        <v>1092.5898999999999</v>
      </c>
      <c r="AN400">
        <v>1026.8762999999999</v>
      </c>
      <c r="BB400">
        <v>1127</v>
      </c>
      <c r="BC400">
        <v>1090</v>
      </c>
      <c r="BD400">
        <v>1088</v>
      </c>
      <c r="BE400">
        <v>1125.2008000000001</v>
      </c>
      <c r="BF400">
        <v>1092.0627999999999</v>
      </c>
      <c r="BG400">
        <v>1135.2829999999999</v>
      </c>
    </row>
    <row r="401" spans="35:59" x14ac:dyDescent="0.3">
      <c r="AI401">
        <v>1128</v>
      </c>
      <c r="AJ401">
        <v>1090</v>
      </c>
      <c r="AK401">
        <v>1169</v>
      </c>
      <c r="AL401">
        <v>1126.5103999999999</v>
      </c>
      <c r="AM401">
        <v>1092.5934</v>
      </c>
      <c r="AN401">
        <v>1129.6681000000001</v>
      </c>
      <c r="BB401">
        <v>1112</v>
      </c>
      <c r="BC401">
        <v>1089</v>
      </c>
      <c r="BD401">
        <v>1276</v>
      </c>
      <c r="BE401">
        <v>1118.1985999999999</v>
      </c>
      <c r="BF401">
        <v>1092.1197999999999</v>
      </c>
      <c r="BG401">
        <v>1240.4801</v>
      </c>
    </row>
    <row r="402" spans="35:59" x14ac:dyDescent="0.3">
      <c r="AI402">
        <v>1115</v>
      </c>
      <c r="AJ402">
        <v>1093</v>
      </c>
      <c r="AK402">
        <v>1259</v>
      </c>
      <c r="AL402">
        <v>1119.6171999999999</v>
      </c>
      <c r="AM402">
        <v>1092.6928</v>
      </c>
      <c r="AN402">
        <v>1231.3532</v>
      </c>
      <c r="BB402">
        <v>1107</v>
      </c>
      <c r="BC402">
        <v>1091</v>
      </c>
      <c r="BD402">
        <v>1378</v>
      </c>
      <c r="BE402">
        <v>1111.9795999999999</v>
      </c>
      <c r="BF402">
        <v>1092.2774999999999</v>
      </c>
      <c r="BG402">
        <v>1341.4360999999999</v>
      </c>
    </row>
    <row r="403" spans="35:59" x14ac:dyDescent="0.3">
      <c r="AI403">
        <v>1107</v>
      </c>
      <c r="AJ403">
        <v>1093</v>
      </c>
      <c r="AK403">
        <v>1350</v>
      </c>
      <c r="AL403">
        <v>1113.4691</v>
      </c>
      <c r="AM403">
        <v>1092.8860999999999</v>
      </c>
      <c r="AN403">
        <v>1329.0291999999999</v>
      </c>
      <c r="BB403">
        <v>1105</v>
      </c>
      <c r="BC403">
        <v>1091</v>
      </c>
      <c r="BD403">
        <v>1479</v>
      </c>
      <c r="BE403">
        <v>1106.7212999999999</v>
      </c>
      <c r="BF403">
        <v>1092.5309</v>
      </c>
      <c r="BG403">
        <v>1435.2628999999999</v>
      </c>
    </row>
    <row r="404" spans="35:59" x14ac:dyDescent="0.3">
      <c r="AI404">
        <v>1103</v>
      </c>
      <c r="AJ404">
        <v>1092</v>
      </c>
      <c r="AK404">
        <v>1453</v>
      </c>
      <c r="AL404">
        <v>1108.2418</v>
      </c>
      <c r="AM404">
        <v>1093.1685</v>
      </c>
      <c r="AN404">
        <v>1419.9076</v>
      </c>
      <c r="BB404">
        <v>1097</v>
      </c>
      <c r="BC404">
        <v>1092</v>
      </c>
      <c r="BD404">
        <v>1556</v>
      </c>
      <c r="BE404">
        <v>1102.5742</v>
      </c>
      <c r="BF404">
        <v>1092.8717999999999</v>
      </c>
      <c r="BG404">
        <v>1519.2750000000001</v>
      </c>
    </row>
    <row r="405" spans="35:59" x14ac:dyDescent="0.3">
      <c r="AI405">
        <v>1102</v>
      </c>
      <c r="AJ405">
        <v>1093</v>
      </c>
      <c r="AK405">
        <v>1530</v>
      </c>
      <c r="AL405">
        <v>1104.0845999999999</v>
      </c>
      <c r="AM405">
        <v>1093.5329999999999</v>
      </c>
      <c r="AN405">
        <v>1501.3941</v>
      </c>
      <c r="BB405">
        <v>1097</v>
      </c>
      <c r="BC405">
        <v>1093</v>
      </c>
      <c r="BD405">
        <v>1628</v>
      </c>
      <c r="BE405">
        <v>1099.6569</v>
      </c>
      <c r="BF405">
        <v>1093.2898</v>
      </c>
      <c r="BG405">
        <v>1591.0661</v>
      </c>
    </row>
    <row r="406" spans="35:59" x14ac:dyDescent="0.3">
      <c r="AI406">
        <v>1095</v>
      </c>
      <c r="AJ406">
        <v>1094</v>
      </c>
      <c r="AK406">
        <v>1595</v>
      </c>
      <c r="AL406">
        <v>1101.1161999999999</v>
      </c>
      <c r="AM406">
        <v>1093.9698000000001</v>
      </c>
      <c r="AN406">
        <v>1571.1623</v>
      </c>
      <c r="BB406">
        <v>1098</v>
      </c>
      <c r="BC406">
        <v>1094</v>
      </c>
      <c r="BD406">
        <v>1687</v>
      </c>
      <c r="BE406">
        <v>1098.0530000000001</v>
      </c>
      <c r="BF406">
        <v>1093.7720999999999</v>
      </c>
      <c r="BG406">
        <v>1648.5784000000001</v>
      </c>
    </row>
    <row r="407" spans="35:59" x14ac:dyDescent="0.3">
      <c r="AI407">
        <v>1096</v>
      </c>
      <c r="AJ407">
        <v>1094</v>
      </c>
      <c r="AK407">
        <v>1655</v>
      </c>
      <c r="AL407">
        <v>1099.4215999999999</v>
      </c>
      <c r="AM407">
        <v>1094.4673</v>
      </c>
      <c r="AN407">
        <v>1627.2201</v>
      </c>
      <c r="BB407">
        <v>1097</v>
      </c>
      <c r="BC407">
        <v>1097</v>
      </c>
      <c r="BD407">
        <v>1724</v>
      </c>
      <c r="BE407">
        <v>1097.8087</v>
      </c>
      <c r="BF407">
        <v>1094.3041000000001</v>
      </c>
      <c r="BG407">
        <v>1690.1610000000001</v>
      </c>
    </row>
    <row r="408" spans="35:59" x14ac:dyDescent="0.3">
      <c r="AI408">
        <v>1098</v>
      </c>
      <c r="AJ408">
        <v>1094</v>
      </c>
      <c r="AK408">
        <v>1691</v>
      </c>
      <c r="AL408">
        <v>1099.0491999999999</v>
      </c>
      <c r="AM408">
        <v>1095.0118</v>
      </c>
      <c r="AN408">
        <v>1667.9673</v>
      </c>
      <c r="BB408">
        <v>1097</v>
      </c>
      <c r="BC408">
        <v>1095</v>
      </c>
      <c r="BD408">
        <v>1738</v>
      </c>
      <c r="BE408">
        <v>1098.9313999999999</v>
      </c>
      <c r="BF408">
        <v>1094.8698999999999</v>
      </c>
      <c r="BG408">
        <v>1714.6179</v>
      </c>
    </row>
    <row r="409" spans="35:59" x14ac:dyDescent="0.3">
      <c r="AI409">
        <v>1102</v>
      </c>
      <c r="AJ409">
        <v>1094</v>
      </c>
      <c r="AK409">
        <v>1714</v>
      </c>
      <c r="AL409">
        <v>1100.0094999999999</v>
      </c>
      <c r="AM409">
        <v>1095.5886</v>
      </c>
      <c r="AN409">
        <v>1692.2409</v>
      </c>
      <c r="BB409">
        <v>1101</v>
      </c>
      <c r="BC409">
        <v>1095</v>
      </c>
      <c r="BD409">
        <v>1727</v>
      </c>
      <c r="BE409">
        <v>1101.3895</v>
      </c>
      <c r="BF409">
        <v>1095.4523999999999</v>
      </c>
      <c r="BG409">
        <v>1721.2418</v>
      </c>
    </row>
    <row r="410" spans="35:59" x14ac:dyDescent="0.3">
      <c r="AI410">
        <v>1099</v>
      </c>
      <c r="AJ410">
        <v>1095</v>
      </c>
      <c r="AK410">
        <v>1710</v>
      </c>
      <c r="AL410">
        <v>1102.2752</v>
      </c>
      <c r="AM410">
        <v>1096.1815999999999</v>
      </c>
      <c r="AN410">
        <v>1699.3488</v>
      </c>
      <c r="BB410">
        <v>1101</v>
      </c>
      <c r="BC410">
        <v>1094</v>
      </c>
      <c r="BD410">
        <v>1697</v>
      </c>
      <c r="BE410">
        <v>1105.1132</v>
      </c>
      <c r="BF410">
        <v>1096.0343</v>
      </c>
      <c r="BG410">
        <v>1709.8353</v>
      </c>
    </row>
    <row r="411" spans="35:59" x14ac:dyDescent="0.3">
      <c r="AI411">
        <v>1106</v>
      </c>
      <c r="AJ411">
        <v>1096</v>
      </c>
      <c r="AK411">
        <v>1687</v>
      </c>
      <c r="AL411">
        <v>1105.7814000000001</v>
      </c>
      <c r="AM411">
        <v>1096.7745</v>
      </c>
      <c r="AN411">
        <v>1689.0897</v>
      </c>
      <c r="BB411">
        <v>1108</v>
      </c>
      <c r="BC411">
        <v>1095</v>
      </c>
      <c r="BD411">
        <v>1654</v>
      </c>
      <c r="BE411">
        <v>1109.9965999999999</v>
      </c>
      <c r="BF411">
        <v>1096.5983000000001</v>
      </c>
      <c r="BG411">
        <v>1680.7161000000001</v>
      </c>
    </row>
    <row r="412" spans="35:59" x14ac:dyDescent="0.3">
      <c r="AI412">
        <v>1112</v>
      </c>
      <c r="AJ412">
        <v>1098</v>
      </c>
      <c r="AK412">
        <v>1643</v>
      </c>
      <c r="AL412">
        <v>1110.4277999999999</v>
      </c>
      <c r="AM412">
        <v>1097.3507</v>
      </c>
      <c r="AN412">
        <v>1661.7585999999999</v>
      </c>
      <c r="BB412">
        <v>1116</v>
      </c>
      <c r="BC412">
        <v>1096</v>
      </c>
      <c r="BD412">
        <v>1606</v>
      </c>
      <c r="BE412">
        <v>1115.9006999999999</v>
      </c>
      <c r="BF412">
        <v>1097.1277</v>
      </c>
      <c r="BG412">
        <v>1634.7086999999999</v>
      </c>
    </row>
    <row r="413" spans="35:59" x14ac:dyDescent="0.3">
      <c r="AI413">
        <v>1118</v>
      </c>
      <c r="AJ413">
        <v>1098</v>
      </c>
      <c r="AK413">
        <v>1597</v>
      </c>
      <c r="AL413">
        <v>1116.0813000000001</v>
      </c>
      <c r="AM413">
        <v>1097.894</v>
      </c>
      <c r="AN413">
        <v>1618.1395</v>
      </c>
      <c r="BB413">
        <v>1123</v>
      </c>
      <c r="BC413">
        <v>1096</v>
      </c>
      <c r="BD413">
        <v>1547</v>
      </c>
      <c r="BE413">
        <v>1122.6572000000001</v>
      </c>
      <c r="BF413">
        <v>1097.6066000000001</v>
      </c>
      <c r="BG413">
        <v>1573.1211000000001</v>
      </c>
    </row>
    <row r="414" spans="35:59" x14ac:dyDescent="0.3">
      <c r="AI414">
        <v>1123</v>
      </c>
      <c r="AJ414">
        <v>1097</v>
      </c>
      <c r="AK414">
        <v>1535</v>
      </c>
      <c r="AL414">
        <v>1122.5800999999999</v>
      </c>
      <c r="AM414">
        <v>1098.3893</v>
      </c>
      <c r="AN414">
        <v>1559.4822999999999</v>
      </c>
      <c r="BB414">
        <v>1129</v>
      </c>
      <c r="BC414">
        <v>1098</v>
      </c>
      <c r="BD414">
        <v>1478</v>
      </c>
      <c r="BE414">
        <v>1130.0735</v>
      </c>
      <c r="BF414">
        <v>1098.021</v>
      </c>
      <c r="BG414">
        <v>1497.7074</v>
      </c>
    </row>
    <row r="415" spans="35:59" x14ac:dyDescent="0.3">
      <c r="AI415">
        <v>1131</v>
      </c>
      <c r="AJ415">
        <v>1098</v>
      </c>
      <c r="AK415">
        <v>1467</v>
      </c>
      <c r="AL415">
        <v>1129.7379000000001</v>
      </c>
      <c r="AM415">
        <v>1098.8225</v>
      </c>
      <c r="AN415">
        <v>1487.4679000000001</v>
      </c>
      <c r="BB415">
        <v>1138</v>
      </c>
      <c r="BC415">
        <v>1099</v>
      </c>
      <c r="BD415">
        <v>1394</v>
      </c>
      <c r="BE415">
        <v>1137.9378999999999</v>
      </c>
      <c r="BF415">
        <v>1098.3584000000001</v>
      </c>
      <c r="BG415">
        <v>1410.6184000000001</v>
      </c>
    </row>
    <row r="416" spans="35:59" x14ac:dyDescent="0.3">
      <c r="AI416">
        <v>1135</v>
      </c>
      <c r="AJ416">
        <v>1098</v>
      </c>
      <c r="AK416">
        <v>1389</v>
      </c>
      <c r="AL416">
        <v>1137.3497</v>
      </c>
      <c r="AM416">
        <v>1099.1813999999999</v>
      </c>
      <c r="AN416">
        <v>1404.1601000000001</v>
      </c>
      <c r="BB416">
        <v>1148</v>
      </c>
      <c r="BC416">
        <v>1097</v>
      </c>
      <c r="BD416">
        <v>1305</v>
      </c>
      <c r="BE416">
        <v>1146.0257999999999</v>
      </c>
      <c r="BF416">
        <v>1098.6088999999999</v>
      </c>
      <c r="BG416">
        <v>1314.3402000000001</v>
      </c>
    </row>
    <row r="417" spans="35:59" x14ac:dyDescent="0.3">
      <c r="AI417">
        <v>1146</v>
      </c>
      <c r="AJ417">
        <v>1098</v>
      </c>
      <c r="AK417">
        <v>1302</v>
      </c>
      <c r="AL417">
        <v>1145.1973</v>
      </c>
      <c r="AM417">
        <v>1099.4557</v>
      </c>
      <c r="AN417">
        <v>1311.9467</v>
      </c>
      <c r="BB417">
        <v>1154</v>
      </c>
      <c r="BC417">
        <v>1098</v>
      </c>
      <c r="BD417">
        <v>1202</v>
      </c>
      <c r="BE417">
        <v>1154.1062999999999</v>
      </c>
      <c r="BF417">
        <v>1098.7647999999999</v>
      </c>
      <c r="BG417">
        <v>1211.6233999999999</v>
      </c>
    </row>
    <row r="418" spans="35:59" x14ac:dyDescent="0.3">
      <c r="AI418">
        <v>1154</v>
      </c>
      <c r="AJ418">
        <v>1099</v>
      </c>
      <c r="AK418">
        <v>1206</v>
      </c>
      <c r="AL418">
        <v>1153.0554999999999</v>
      </c>
      <c r="AM418">
        <v>1099.6376</v>
      </c>
      <c r="AN418">
        <v>1213.4719</v>
      </c>
      <c r="BB418">
        <v>1160</v>
      </c>
      <c r="BC418">
        <v>1098</v>
      </c>
      <c r="BD418">
        <v>1104</v>
      </c>
      <c r="BE418">
        <v>1161.9483</v>
      </c>
      <c r="BF418">
        <v>1098.8215</v>
      </c>
      <c r="BG418">
        <v>1105.4046000000001</v>
      </c>
    </row>
    <row r="419" spans="35:59" x14ac:dyDescent="0.3">
      <c r="AI419">
        <v>1162</v>
      </c>
      <c r="AJ419">
        <v>1098</v>
      </c>
      <c r="AK419">
        <v>1108</v>
      </c>
      <c r="AL419">
        <v>1160.6987999999999</v>
      </c>
      <c r="AM419">
        <v>1099.7218</v>
      </c>
      <c r="AN419">
        <v>1111.5603000000001</v>
      </c>
      <c r="BB419">
        <v>1171</v>
      </c>
      <c r="BC419">
        <v>1099</v>
      </c>
      <c r="BD419">
        <v>1012</v>
      </c>
      <c r="BE419">
        <v>1169.3276000000001</v>
      </c>
      <c r="BF419">
        <v>1098.777</v>
      </c>
      <c r="BG419">
        <v>998.72230000000002</v>
      </c>
    </row>
    <row r="420" spans="35:59" x14ac:dyDescent="0.3">
      <c r="AI420">
        <v>1167</v>
      </c>
      <c r="AJ420">
        <v>1099</v>
      </c>
      <c r="AK420">
        <v>1013</v>
      </c>
      <c r="AL420">
        <v>1167.9078</v>
      </c>
      <c r="AM420">
        <v>1099.7056</v>
      </c>
      <c r="AN420">
        <v>1009.1366</v>
      </c>
      <c r="BB420">
        <v>1174</v>
      </c>
      <c r="BC420">
        <v>1097</v>
      </c>
      <c r="BD420">
        <v>921</v>
      </c>
      <c r="BE420">
        <v>1176.0328</v>
      </c>
      <c r="BF420">
        <v>1098.6324999999999</v>
      </c>
      <c r="BG420">
        <v>894.6309</v>
      </c>
    </row>
    <row r="421" spans="35:59" x14ac:dyDescent="0.3">
      <c r="AI421">
        <v>1171</v>
      </c>
      <c r="AJ421">
        <v>1099</v>
      </c>
      <c r="AK421">
        <v>939</v>
      </c>
      <c r="AL421">
        <v>1174.4753000000001</v>
      </c>
      <c r="AM421">
        <v>1099.5893000000001</v>
      </c>
      <c r="AN421">
        <v>909.14179999999999</v>
      </c>
      <c r="BB421">
        <v>1181</v>
      </c>
      <c r="BC421">
        <v>1097</v>
      </c>
      <c r="BD421">
        <v>807</v>
      </c>
      <c r="BE421">
        <v>1181.8719000000001</v>
      </c>
      <c r="BF421">
        <v>1098.3918000000001</v>
      </c>
      <c r="BG421">
        <v>796.11260000000004</v>
      </c>
    </row>
    <row r="422" spans="35:59" x14ac:dyDescent="0.3">
      <c r="BB422">
        <v>1186</v>
      </c>
      <c r="BC422">
        <v>1097</v>
      </c>
      <c r="BD422">
        <v>716</v>
      </c>
      <c r="BE422">
        <v>1186.6773000000001</v>
      </c>
      <c r="BF422">
        <v>1098.0617999999999</v>
      </c>
      <c r="BG422">
        <v>705.99210000000005</v>
      </c>
    </row>
    <row r="423" spans="35:59" x14ac:dyDescent="0.3">
      <c r="BB423">
        <v>1188</v>
      </c>
      <c r="BC423">
        <v>1095</v>
      </c>
      <c r="BD423">
        <v>634</v>
      </c>
      <c r="BE423">
        <v>1190.3109999999999</v>
      </c>
      <c r="BF423">
        <v>1097.6516999999999</v>
      </c>
      <c r="BG423">
        <v>626.85599999999999</v>
      </c>
    </row>
    <row r="424" spans="35:59" x14ac:dyDescent="0.3">
      <c r="BB424">
        <v>1191</v>
      </c>
      <c r="BC424">
        <v>1098</v>
      </c>
      <c r="BD424">
        <v>564</v>
      </c>
      <c r="BE424">
        <v>1192.6682000000001</v>
      </c>
      <c r="BF424">
        <v>1097.1732999999999</v>
      </c>
      <c r="BG424">
        <v>560.9787</v>
      </c>
    </row>
    <row r="425" spans="35:59" x14ac:dyDescent="0.3">
      <c r="BB425">
        <v>1193</v>
      </c>
      <c r="BC425">
        <v>1095</v>
      </c>
      <c r="BD425">
        <v>502</v>
      </c>
      <c r="BE425">
        <v>1193.6808000000001</v>
      </c>
      <c r="BF425">
        <v>1096.6400000000001</v>
      </c>
      <c r="BG425">
        <v>510.25639999999999</v>
      </c>
    </row>
    <row r="426" spans="35:59" x14ac:dyDescent="0.3">
      <c r="BB426">
        <v>1195</v>
      </c>
      <c r="BC426">
        <v>1096</v>
      </c>
      <c r="BD426">
        <v>469</v>
      </c>
      <c r="BE426">
        <v>1193.3187</v>
      </c>
      <c r="BF426">
        <v>1096.0672</v>
      </c>
      <c r="BG426">
        <v>476.15289999999999</v>
      </c>
    </row>
    <row r="427" spans="35:59" x14ac:dyDescent="0.3">
      <c r="BB427">
        <v>1191</v>
      </c>
      <c r="BC427">
        <v>1095</v>
      </c>
      <c r="BD427">
        <v>452</v>
      </c>
      <c r="BE427">
        <v>1191.5915</v>
      </c>
      <c r="BF427">
        <v>1095.471</v>
      </c>
      <c r="BG427">
        <v>459.65750000000003</v>
      </c>
    </row>
    <row r="428" spans="35:59" x14ac:dyDescent="0.3">
      <c r="BB428">
        <v>1188</v>
      </c>
      <c r="BC428">
        <v>1093</v>
      </c>
      <c r="BD428">
        <v>457</v>
      </c>
      <c r="BE428">
        <v>1188.5473999999999</v>
      </c>
      <c r="BF428">
        <v>1094.8686</v>
      </c>
      <c r="BG428">
        <v>461.25580000000002</v>
      </c>
    </row>
    <row r="429" spans="35:59" x14ac:dyDescent="0.3">
      <c r="BB429">
        <v>1185</v>
      </c>
      <c r="BC429">
        <v>1093</v>
      </c>
      <c r="BD429">
        <v>482</v>
      </c>
      <c r="BE429">
        <v>1184.2728</v>
      </c>
      <c r="BF429">
        <v>1094.277</v>
      </c>
      <c r="BG429">
        <v>480.91539999999998</v>
      </c>
    </row>
    <row r="430" spans="35:59" x14ac:dyDescent="0.3">
      <c r="BB430">
        <v>1178</v>
      </c>
      <c r="BC430">
        <v>1092</v>
      </c>
      <c r="BD430">
        <v>522</v>
      </c>
      <c r="BE430">
        <v>1178.8889999999999</v>
      </c>
      <c r="BF430">
        <v>1093.7130999999999</v>
      </c>
      <c r="BG430">
        <v>518.08640000000003</v>
      </c>
    </row>
    <row r="431" spans="35:59" x14ac:dyDescent="0.3">
      <c r="BB431">
        <v>1171</v>
      </c>
      <c r="BC431">
        <v>1094</v>
      </c>
      <c r="BD431">
        <v>567</v>
      </c>
      <c r="BE431">
        <v>1172.5492999999999</v>
      </c>
      <c r="BF431">
        <v>1093.1929</v>
      </c>
      <c r="BG431">
        <v>571.71669999999995</v>
      </c>
    </row>
    <row r="432" spans="35:59" x14ac:dyDescent="0.3">
      <c r="BB432">
        <v>1166</v>
      </c>
      <c r="BC432">
        <v>1092</v>
      </c>
      <c r="BD432">
        <v>629</v>
      </c>
      <c r="BE432">
        <v>1165.4345000000001</v>
      </c>
      <c r="BF432">
        <v>1092.7313999999999</v>
      </c>
      <c r="BG432">
        <v>640.28129999999999</v>
      </c>
    </row>
    <row r="433" spans="54:59" x14ac:dyDescent="0.3">
      <c r="BB433">
        <v>1156</v>
      </c>
      <c r="BC433">
        <v>1091</v>
      </c>
      <c r="BD433">
        <v>699</v>
      </c>
      <c r="BE433">
        <v>1157.7476999999999</v>
      </c>
      <c r="BF433">
        <v>1092.3414</v>
      </c>
      <c r="BG433">
        <v>721.82560000000001</v>
      </c>
    </row>
    <row r="434" spans="54:59" x14ac:dyDescent="0.3">
      <c r="BB434">
        <v>1149</v>
      </c>
      <c r="BC434">
        <v>1092</v>
      </c>
      <c r="BD434">
        <v>782</v>
      </c>
      <c r="BE434">
        <v>1149.7086999999999</v>
      </c>
      <c r="BF434">
        <v>1092.0343</v>
      </c>
      <c r="BG434">
        <v>814.02089999999998</v>
      </c>
    </row>
    <row r="435" spans="54:59" x14ac:dyDescent="0.3">
      <c r="BB435">
        <v>1143</v>
      </c>
      <c r="BC435">
        <v>1092</v>
      </c>
      <c r="BD435">
        <v>874</v>
      </c>
      <c r="BE435">
        <v>1141.5474999999999</v>
      </c>
      <c r="BF435">
        <v>1091.8185000000001</v>
      </c>
      <c r="BG435">
        <v>914.23080000000004</v>
      </c>
    </row>
    <row r="436" spans="54:59" x14ac:dyDescent="0.3">
      <c r="BB436">
        <v>1140</v>
      </c>
      <c r="BC436">
        <v>1092</v>
      </c>
      <c r="BD436">
        <v>979</v>
      </c>
      <c r="BE436">
        <v>1133.4976999999999</v>
      </c>
      <c r="BF436">
        <v>1091.7002</v>
      </c>
      <c r="BG436">
        <v>1019.5863000000001</v>
      </c>
    </row>
    <row r="437" spans="54:59" x14ac:dyDescent="0.3">
      <c r="BB437">
        <v>1127</v>
      </c>
      <c r="BC437">
        <v>1090</v>
      </c>
      <c r="BD437">
        <v>1077</v>
      </c>
      <c r="BE437">
        <v>1125.7901999999999</v>
      </c>
      <c r="BF437">
        <v>1091.6827000000001</v>
      </c>
      <c r="BG437">
        <v>1127.0678</v>
      </c>
    </row>
    <row r="438" spans="54:59" x14ac:dyDescent="0.3">
      <c r="BB438">
        <v>1113</v>
      </c>
      <c r="BC438">
        <v>1091</v>
      </c>
      <c r="BD438">
        <v>1255</v>
      </c>
      <c r="BE438">
        <v>1118.6460999999999</v>
      </c>
      <c r="BF438">
        <v>1091.7665</v>
      </c>
      <c r="BG438">
        <v>1233.5916</v>
      </c>
    </row>
    <row r="439" spans="54:59" x14ac:dyDescent="0.3">
      <c r="BB439">
        <v>1108</v>
      </c>
      <c r="BC439">
        <v>1091</v>
      </c>
      <c r="BD439">
        <v>1388</v>
      </c>
      <c r="BE439">
        <v>1112.2707</v>
      </c>
      <c r="BF439">
        <v>1091.9489000000001</v>
      </c>
      <c r="BG439">
        <v>1336.0979</v>
      </c>
    </row>
    <row r="440" spans="54:59" x14ac:dyDescent="0.3">
      <c r="BB440">
        <v>1103</v>
      </c>
      <c r="BC440">
        <v>1092</v>
      </c>
      <c r="BD440">
        <v>1470</v>
      </c>
      <c r="BE440">
        <v>1106.8475000000001</v>
      </c>
      <c r="BF440">
        <v>1092.2248</v>
      </c>
      <c r="BG440">
        <v>1431.6392000000001</v>
      </c>
    </row>
    <row r="441" spans="54:59" x14ac:dyDescent="0.3">
      <c r="BB441">
        <v>1100</v>
      </c>
      <c r="BC441">
        <v>1091</v>
      </c>
      <c r="BD441">
        <v>1547</v>
      </c>
      <c r="BE441">
        <v>1102.5328</v>
      </c>
      <c r="BF441">
        <v>1092.5862</v>
      </c>
      <c r="BG441">
        <v>1517.4643000000001</v>
      </c>
    </row>
    <row r="442" spans="54:59" x14ac:dyDescent="0.3">
      <c r="BB442">
        <v>1093</v>
      </c>
      <c r="BC442">
        <v>1094</v>
      </c>
      <c r="BD442">
        <v>1625</v>
      </c>
      <c r="BE442">
        <v>1099.4512</v>
      </c>
      <c r="BF442">
        <v>1093.0228</v>
      </c>
      <c r="BG442">
        <v>1591.0983000000001</v>
      </c>
    </row>
    <row r="443" spans="54:59" x14ac:dyDescent="0.3">
      <c r="BB443">
        <v>1095</v>
      </c>
      <c r="BC443">
        <v>1093</v>
      </c>
      <c r="BD443">
        <v>1681</v>
      </c>
      <c r="BE443">
        <v>1097.6922999999999</v>
      </c>
      <c r="BF443">
        <v>1093.5219999999999</v>
      </c>
      <c r="BG443">
        <v>1650.4132</v>
      </c>
    </row>
    <row r="444" spans="54:59" x14ac:dyDescent="0.3">
      <c r="BB444">
        <v>1095</v>
      </c>
      <c r="BC444">
        <v>1093</v>
      </c>
      <c r="BD444">
        <v>1717</v>
      </c>
      <c r="BE444">
        <v>1097.3073999999999</v>
      </c>
      <c r="BF444">
        <v>1094.0696</v>
      </c>
      <c r="BG444">
        <v>1693.6901</v>
      </c>
    </row>
    <row r="445" spans="54:59" x14ac:dyDescent="0.3">
      <c r="BB445">
        <v>1101</v>
      </c>
      <c r="BC445">
        <v>1094</v>
      </c>
      <c r="BD445">
        <v>1735</v>
      </c>
      <c r="BE445">
        <v>1098.3089</v>
      </c>
      <c r="BF445">
        <v>1094.6500000000001</v>
      </c>
      <c r="BG445">
        <v>1719.6688999999999</v>
      </c>
    </row>
    <row r="446" spans="54:59" x14ac:dyDescent="0.3">
      <c r="BB446">
        <v>1100</v>
      </c>
      <c r="BC446">
        <v>1092</v>
      </c>
      <c r="BD446">
        <v>1730</v>
      </c>
      <c r="BE446">
        <v>1100.6691000000001</v>
      </c>
      <c r="BF446">
        <v>1095.2466999999999</v>
      </c>
      <c r="BG446">
        <v>1727.585</v>
      </c>
    </row>
    <row r="447" spans="54:59" x14ac:dyDescent="0.3">
      <c r="BB447">
        <v>1105</v>
      </c>
      <c r="BC447">
        <v>1095</v>
      </c>
      <c r="BD447">
        <v>1705</v>
      </c>
      <c r="BE447">
        <v>1104.3213000000001</v>
      </c>
      <c r="BF447">
        <v>1095.8425999999999</v>
      </c>
      <c r="BG447">
        <v>1717.1922</v>
      </c>
    </row>
    <row r="448" spans="54:59" x14ac:dyDescent="0.3">
      <c r="BB448">
        <v>1111</v>
      </c>
      <c r="BC448">
        <v>1097</v>
      </c>
      <c r="BD448">
        <v>1667</v>
      </c>
      <c r="BE448">
        <v>1109.1614</v>
      </c>
      <c r="BF448">
        <v>1096.4208000000001</v>
      </c>
      <c r="BG448">
        <v>1688.7702999999999</v>
      </c>
    </row>
    <row r="449" spans="54:59" x14ac:dyDescent="0.3">
      <c r="BB449">
        <v>1117</v>
      </c>
      <c r="BC449">
        <v>1098</v>
      </c>
      <c r="BD449">
        <v>1620</v>
      </c>
      <c r="BE449">
        <v>1115.0514000000001</v>
      </c>
      <c r="BF449">
        <v>1096.9649999999999</v>
      </c>
      <c r="BG449">
        <v>1643.1179</v>
      </c>
    </row>
    <row r="450" spans="54:59" x14ac:dyDescent="0.3">
      <c r="BB450">
        <v>1122</v>
      </c>
      <c r="BC450">
        <v>1095</v>
      </c>
      <c r="BD450">
        <v>1556</v>
      </c>
      <c r="BE450">
        <v>1121.8225</v>
      </c>
      <c r="BF450">
        <v>1097.4597000000001</v>
      </c>
      <c r="BG450">
        <v>1581.5302999999999</v>
      </c>
    </row>
    <row r="451" spans="54:59" x14ac:dyDescent="0.3">
      <c r="BB451">
        <v>1130</v>
      </c>
      <c r="BC451">
        <v>1098</v>
      </c>
      <c r="BD451">
        <v>1485</v>
      </c>
      <c r="BE451">
        <v>1129.2808</v>
      </c>
      <c r="BF451">
        <v>1097.8909000000001</v>
      </c>
      <c r="BG451">
        <v>1505.7628</v>
      </c>
    </row>
    <row r="452" spans="54:59" x14ac:dyDescent="0.3">
      <c r="BB452">
        <v>1133</v>
      </c>
      <c r="BC452">
        <v>1098</v>
      </c>
      <c r="BD452">
        <v>1404</v>
      </c>
      <c r="BE452">
        <v>1137.2119</v>
      </c>
      <c r="BF452">
        <v>1098.2466999999999</v>
      </c>
      <c r="BG452">
        <v>1417.9808</v>
      </c>
    </row>
    <row r="453" spans="54:59" x14ac:dyDescent="0.3">
      <c r="BB453">
        <v>1145</v>
      </c>
      <c r="BC453">
        <v>1097</v>
      </c>
      <c r="BD453">
        <v>1311</v>
      </c>
      <c r="BE453">
        <v>1145.3878</v>
      </c>
      <c r="BF453">
        <v>1098.5169000000001</v>
      </c>
      <c r="BG453">
        <v>1320.6984</v>
      </c>
    </row>
    <row r="454" spans="54:59" x14ac:dyDescent="0.3">
      <c r="BB454">
        <v>1154</v>
      </c>
      <c r="BC454">
        <v>1098</v>
      </c>
      <c r="BD454">
        <v>1211</v>
      </c>
      <c r="BE454">
        <v>1153.5732</v>
      </c>
      <c r="BF454">
        <v>1098.694</v>
      </c>
      <c r="BG454">
        <v>1216.7061000000001</v>
      </c>
    </row>
    <row r="455" spans="54:59" x14ac:dyDescent="0.3">
      <c r="BB455">
        <v>1164</v>
      </c>
      <c r="BC455">
        <v>1098</v>
      </c>
      <c r="BD455">
        <v>1111</v>
      </c>
      <c r="BE455">
        <v>1161.5319999999999</v>
      </c>
      <c r="BF455">
        <v>1098.7733000000001</v>
      </c>
      <c r="BG455">
        <v>1108.9912999999999</v>
      </c>
    </row>
    <row r="456" spans="54:59" x14ac:dyDescent="0.3">
      <c r="BB456">
        <v>1167</v>
      </c>
      <c r="BC456">
        <v>1095</v>
      </c>
      <c r="BD456">
        <v>1013</v>
      </c>
      <c r="BE456">
        <v>1169.0346</v>
      </c>
      <c r="BF456">
        <v>1098.7527</v>
      </c>
      <c r="BG456">
        <v>1000.6522</v>
      </c>
    </row>
    <row r="457" spans="54:59" x14ac:dyDescent="0.3">
      <c r="BB457">
        <v>1174</v>
      </c>
      <c r="BC457">
        <v>1098</v>
      </c>
      <c r="BD457">
        <v>910</v>
      </c>
      <c r="BE457">
        <v>1175.8639000000001</v>
      </c>
      <c r="BF457">
        <v>1098.6331</v>
      </c>
      <c r="BG457">
        <v>894.80880000000002</v>
      </c>
    </row>
    <row r="458" spans="54:59" x14ac:dyDescent="0.3">
      <c r="BB458">
        <v>1182</v>
      </c>
      <c r="BC458">
        <v>1098</v>
      </c>
      <c r="BD458">
        <v>809</v>
      </c>
      <c r="BE458">
        <v>1181.8222000000001</v>
      </c>
      <c r="BF458">
        <v>1098.4179999999999</v>
      </c>
      <c r="BG458">
        <v>794.51279999999997</v>
      </c>
    </row>
    <row r="459" spans="54:59" x14ac:dyDescent="0.3">
      <c r="BB459">
        <v>1183</v>
      </c>
      <c r="BC459">
        <v>1099</v>
      </c>
      <c r="BD459">
        <v>729</v>
      </c>
      <c r="BE459">
        <v>1186.7366999999999</v>
      </c>
      <c r="BF459">
        <v>1098.1138000000001</v>
      </c>
      <c r="BG459">
        <v>702.66010000000006</v>
      </c>
    </row>
    <row r="460" spans="54:59" x14ac:dyDescent="0.3">
      <c r="BB460">
        <v>1187</v>
      </c>
      <c r="BC460">
        <v>1098</v>
      </c>
      <c r="BD460">
        <v>645</v>
      </c>
      <c r="BE460">
        <v>1190.4641999999999</v>
      </c>
      <c r="BF460">
        <v>1097.7294999999999</v>
      </c>
      <c r="BG460">
        <v>621.90599999999995</v>
      </c>
    </row>
    <row r="461" spans="54:59" x14ac:dyDescent="0.3">
      <c r="BB461">
        <v>1191</v>
      </c>
      <c r="BC461">
        <v>1095</v>
      </c>
      <c r="BD461">
        <v>567</v>
      </c>
      <c r="BE461">
        <v>1192.8959</v>
      </c>
      <c r="BF461">
        <v>1097.2762</v>
      </c>
      <c r="BG461">
        <v>554.58929999999998</v>
      </c>
    </row>
    <row r="462" spans="54:59" x14ac:dyDescent="0.3">
      <c r="BB462">
        <v>1189</v>
      </c>
      <c r="BC462">
        <v>1095</v>
      </c>
      <c r="BD462">
        <v>509</v>
      </c>
      <c r="BE462">
        <v>1193.96</v>
      </c>
      <c r="BF462">
        <v>1096.7670000000001</v>
      </c>
      <c r="BG462">
        <v>502.6635</v>
      </c>
    </row>
    <row r="463" spans="54:59" x14ac:dyDescent="0.3">
      <c r="BB463">
        <v>1191</v>
      </c>
      <c r="BC463">
        <v>1095</v>
      </c>
      <c r="BD463">
        <v>465</v>
      </c>
      <c r="BE463">
        <v>1193.6243999999999</v>
      </c>
      <c r="BF463">
        <v>1096.2166999999999</v>
      </c>
      <c r="BG463">
        <v>467.64019999999999</v>
      </c>
    </row>
    <row r="464" spans="54:59" x14ac:dyDescent="0.3">
      <c r="BB464">
        <v>1191</v>
      </c>
      <c r="BC464">
        <v>1095</v>
      </c>
      <c r="BD464">
        <v>446</v>
      </c>
      <c r="BE464">
        <v>1191.8970999999999</v>
      </c>
      <c r="BF464">
        <v>1095.6410000000001</v>
      </c>
      <c r="BG464">
        <v>450.54480000000001</v>
      </c>
    </row>
    <row r="465" spans="54:59" x14ac:dyDescent="0.3">
      <c r="BB465">
        <v>1190</v>
      </c>
      <c r="BC465">
        <v>1094</v>
      </c>
      <c r="BD465">
        <v>446</v>
      </c>
      <c r="BE465">
        <v>1188.8266000000001</v>
      </c>
      <c r="BF465">
        <v>1095.0563999999999</v>
      </c>
      <c r="BG465">
        <v>451.88600000000002</v>
      </c>
    </row>
    <row r="466" spans="54:59" x14ac:dyDescent="0.3">
      <c r="BB466">
        <v>1183</v>
      </c>
      <c r="BC466">
        <v>1094</v>
      </c>
      <c r="BD466">
        <v>471</v>
      </c>
      <c r="BE466">
        <v>1184.5001</v>
      </c>
      <c r="BF466">
        <v>1094.4797000000001</v>
      </c>
      <c r="BG466">
        <v>471.6404</v>
      </c>
    </row>
    <row r="467" spans="54:59" x14ac:dyDescent="0.3">
      <c r="BB467">
        <v>1179</v>
      </c>
      <c r="BC467">
        <v>1093</v>
      </c>
      <c r="BD467">
        <v>510</v>
      </c>
      <c r="BE467">
        <v>1179.0414000000001</v>
      </c>
      <c r="BF467">
        <v>1093.9275</v>
      </c>
      <c r="BG467">
        <v>509.25229999999999</v>
      </c>
    </row>
    <row r="468" spans="54:59" x14ac:dyDescent="0.3">
      <c r="BB468">
        <v>1175</v>
      </c>
      <c r="BC468">
        <v>1094</v>
      </c>
      <c r="BD468">
        <v>560</v>
      </c>
      <c r="BE468">
        <v>1172.6070999999999</v>
      </c>
      <c r="BF468">
        <v>1093.4151999999999</v>
      </c>
      <c r="BG468">
        <v>563.64940000000001</v>
      </c>
    </row>
    <row r="469" spans="54:59" x14ac:dyDescent="0.3">
      <c r="BB469">
        <v>1168</v>
      </c>
      <c r="BC469">
        <v>1093</v>
      </c>
      <c r="BD469">
        <v>621</v>
      </c>
      <c r="BE469">
        <v>1165.3823</v>
      </c>
      <c r="BF469">
        <v>1092.9576</v>
      </c>
      <c r="BG469">
        <v>633.27279999999996</v>
      </c>
    </row>
    <row r="470" spans="54:59" x14ac:dyDescent="0.3">
      <c r="BB470">
        <v>1160</v>
      </c>
      <c r="BC470">
        <v>1091</v>
      </c>
      <c r="BD470">
        <v>690</v>
      </c>
      <c r="BE470">
        <v>1157.5751</v>
      </c>
      <c r="BF470">
        <v>1092.5675000000001</v>
      </c>
      <c r="BG470">
        <v>716.12149999999997</v>
      </c>
    </row>
    <row r="471" spans="54:59" x14ac:dyDescent="0.3">
      <c r="BB471">
        <v>1153</v>
      </c>
      <c r="BC471">
        <v>1091</v>
      </c>
      <c r="BD471">
        <v>774</v>
      </c>
      <c r="BE471">
        <v>1149.4108000000001</v>
      </c>
      <c r="BF471">
        <v>1092.2559000000001</v>
      </c>
      <c r="BG471">
        <v>809.81</v>
      </c>
    </row>
    <row r="472" spans="54:59" x14ac:dyDescent="0.3">
      <c r="BB472">
        <v>1141</v>
      </c>
      <c r="BC472">
        <v>1091</v>
      </c>
      <c r="BD472">
        <v>866</v>
      </c>
      <c r="BE472">
        <v>1141.1252999999999</v>
      </c>
      <c r="BF472">
        <v>1092.0313000000001</v>
      </c>
      <c r="BG472">
        <v>911.63670000000002</v>
      </c>
    </row>
    <row r="473" spans="54:59" x14ac:dyDescent="0.3">
      <c r="BB473">
        <v>1137</v>
      </c>
      <c r="BC473">
        <v>1091</v>
      </c>
      <c r="BD473">
        <v>967</v>
      </c>
      <c r="BE473">
        <v>1132.9583</v>
      </c>
      <c r="BF473">
        <v>1091.9000000000001</v>
      </c>
      <c r="BG473">
        <v>1018.6622</v>
      </c>
    </row>
    <row r="474" spans="54:59" x14ac:dyDescent="0.3">
      <c r="BB474">
        <v>1127</v>
      </c>
      <c r="BC474">
        <v>1091</v>
      </c>
      <c r="BD474">
        <v>1070</v>
      </c>
      <c r="BE474">
        <v>1125.1460999999999</v>
      </c>
      <c r="BF474">
        <v>1091.8652</v>
      </c>
      <c r="BG474">
        <v>1127.7938999999999</v>
      </c>
    </row>
    <row r="475" spans="54:59" x14ac:dyDescent="0.3">
      <c r="BB475">
        <v>1115</v>
      </c>
      <c r="BC475">
        <v>1092</v>
      </c>
      <c r="BD475">
        <v>1281</v>
      </c>
      <c r="BE475">
        <v>1117.9152999999999</v>
      </c>
      <c r="BF475">
        <v>1091.9275</v>
      </c>
      <c r="BG475">
        <v>1235.8757000000001</v>
      </c>
    </row>
    <row r="476" spans="54:59" x14ac:dyDescent="0.3">
      <c r="BB476">
        <v>1108</v>
      </c>
      <c r="BC476">
        <v>1092</v>
      </c>
      <c r="BD476">
        <v>1367</v>
      </c>
      <c r="BE476">
        <v>1111.4754</v>
      </c>
      <c r="BF476">
        <v>1092.0848000000001</v>
      </c>
      <c r="BG476">
        <v>1339.7796000000001</v>
      </c>
    </row>
    <row r="477" spans="54:59" x14ac:dyDescent="0.3">
      <c r="BB477">
        <v>1105</v>
      </c>
      <c r="BC477">
        <v>1092</v>
      </c>
      <c r="BD477">
        <v>1452</v>
      </c>
      <c r="BE477">
        <v>1106.0135</v>
      </c>
      <c r="BF477">
        <v>1092.3318999999999</v>
      </c>
      <c r="BG477">
        <v>1436.4967999999999</v>
      </c>
    </row>
    <row r="478" spans="54:59" x14ac:dyDescent="0.3">
      <c r="BB478">
        <v>1099</v>
      </c>
      <c r="BC478">
        <v>1094</v>
      </c>
      <c r="BD478">
        <v>1548</v>
      </c>
      <c r="BE478">
        <v>1101.6883</v>
      </c>
      <c r="BF478">
        <v>1092.6614</v>
      </c>
      <c r="BG478">
        <v>1523.2251000000001</v>
      </c>
    </row>
    <row r="479" spans="54:59" x14ac:dyDescent="0.3">
      <c r="BB479">
        <v>1097</v>
      </c>
      <c r="BC479">
        <v>1092</v>
      </c>
      <c r="BD479">
        <v>1618</v>
      </c>
      <c r="BE479">
        <v>1098.6256000000001</v>
      </c>
      <c r="BF479">
        <v>1093.0633</v>
      </c>
      <c r="BG479">
        <v>1597.4503</v>
      </c>
    </row>
    <row r="480" spans="54:59" x14ac:dyDescent="0.3">
      <c r="BB480">
        <v>1097</v>
      </c>
      <c r="BC480">
        <v>1093</v>
      </c>
      <c r="BD480">
        <v>1675</v>
      </c>
      <c r="BE480">
        <v>1096.9147</v>
      </c>
      <c r="BF480">
        <v>1093.5254</v>
      </c>
      <c r="BG480">
        <v>1657.0202999999999</v>
      </c>
    </row>
    <row r="481" spans="54:59" x14ac:dyDescent="0.3">
      <c r="BB481">
        <v>1095</v>
      </c>
      <c r="BC481">
        <v>1093</v>
      </c>
      <c r="BD481">
        <v>1719</v>
      </c>
      <c r="BE481">
        <v>1096.6054999999999</v>
      </c>
      <c r="BF481">
        <v>1094.0341000000001</v>
      </c>
      <c r="BG481">
        <v>1700.2074</v>
      </c>
    </row>
    <row r="482" spans="54:59" x14ac:dyDescent="0.3">
      <c r="BB482">
        <v>1095</v>
      </c>
      <c r="BC482">
        <v>1094</v>
      </c>
      <c r="BD482">
        <v>1735</v>
      </c>
      <c r="BE482">
        <v>1097.7074</v>
      </c>
      <c r="BF482">
        <v>1094.5742</v>
      </c>
      <c r="BG482">
        <v>1725.7596000000001</v>
      </c>
    </row>
    <row r="483" spans="54:59" x14ac:dyDescent="0.3">
      <c r="BB483">
        <v>1099</v>
      </c>
      <c r="BC483">
        <v>1094</v>
      </c>
      <c r="BD483">
        <v>1734</v>
      </c>
      <c r="BE483">
        <v>1100.1886</v>
      </c>
      <c r="BF483">
        <v>1095.1297</v>
      </c>
      <c r="BG483">
        <v>1732.9367999999999</v>
      </c>
    </row>
    <row r="484" spans="54:59" x14ac:dyDescent="0.3">
      <c r="BB484">
        <v>1102</v>
      </c>
      <c r="BC484">
        <v>1093</v>
      </c>
      <c r="BD484">
        <v>1704</v>
      </c>
      <c r="BE484">
        <v>1103.9772</v>
      </c>
      <c r="BF484">
        <v>1095.6842999999999</v>
      </c>
      <c r="BG484">
        <v>1721.5332000000001</v>
      </c>
    </row>
    <row r="485" spans="54:59" x14ac:dyDescent="0.3">
      <c r="BB485">
        <v>1107</v>
      </c>
      <c r="BC485">
        <v>1097</v>
      </c>
      <c r="BD485">
        <v>1671</v>
      </c>
      <c r="BE485">
        <v>1108.9632999999999</v>
      </c>
      <c r="BF485">
        <v>1096.2216000000001</v>
      </c>
      <c r="BG485">
        <v>1691.8837000000001</v>
      </c>
    </row>
    <row r="486" spans="54:59" x14ac:dyDescent="0.3">
      <c r="BB486">
        <v>1113</v>
      </c>
      <c r="BC486">
        <v>1097</v>
      </c>
      <c r="BD486">
        <v>1619</v>
      </c>
      <c r="BE486">
        <v>1115.0021999999999</v>
      </c>
      <c r="BF486">
        <v>1096.7258999999999</v>
      </c>
      <c r="BG486">
        <v>1644.8539000000001</v>
      </c>
    </row>
    <row r="487" spans="54:59" x14ac:dyDescent="0.3">
      <c r="BB487">
        <v>1124</v>
      </c>
      <c r="BC487">
        <v>1095</v>
      </c>
      <c r="BD487">
        <v>1562</v>
      </c>
      <c r="BE487">
        <v>1121.9182000000001</v>
      </c>
      <c r="BF487">
        <v>1097.1822999999999</v>
      </c>
      <c r="BG487">
        <v>1581.8157000000001</v>
      </c>
    </row>
    <row r="488" spans="54:59" x14ac:dyDescent="0.3">
      <c r="BB488">
        <v>1127</v>
      </c>
      <c r="BC488">
        <v>1095</v>
      </c>
      <c r="BD488">
        <v>1489</v>
      </c>
      <c r="BE488">
        <v>1129.5103999999999</v>
      </c>
      <c r="BF488">
        <v>1097.5777</v>
      </c>
      <c r="BG488">
        <v>1504.6071999999999</v>
      </c>
    </row>
    <row r="489" spans="54:59" x14ac:dyDescent="0.3">
      <c r="BB489">
        <v>1136</v>
      </c>
      <c r="BC489">
        <v>1097</v>
      </c>
      <c r="BD489">
        <v>1415</v>
      </c>
      <c r="BE489">
        <v>1137.5581999999999</v>
      </c>
      <c r="BF489">
        <v>1097.9004</v>
      </c>
      <c r="BG489">
        <v>1415.4791</v>
      </c>
    </row>
    <row r="490" spans="54:59" x14ac:dyDescent="0.3">
      <c r="BB490">
        <v>1144</v>
      </c>
      <c r="BC490">
        <v>1098</v>
      </c>
      <c r="BD490">
        <v>1321</v>
      </c>
      <c r="BE490">
        <v>1145.8275000000001</v>
      </c>
      <c r="BF490">
        <v>1098.1412</v>
      </c>
      <c r="BG490">
        <v>1317.029</v>
      </c>
    </row>
    <row r="491" spans="54:59" x14ac:dyDescent="0.3">
      <c r="BB491">
        <v>1151</v>
      </c>
      <c r="BC491">
        <v>1095</v>
      </c>
      <c r="BD491">
        <v>1227</v>
      </c>
      <c r="BE491">
        <v>1154.0780999999999</v>
      </c>
      <c r="BF491">
        <v>1098.2932000000001</v>
      </c>
      <c r="BG491">
        <v>1212.1258</v>
      </c>
    </row>
    <row r="492" spans="54:59" x14ac:dyDescent="0.3">
      <c r="BB492">
        <v>1160</v>
      </c>
      <c r="BC492">
        <v>1098</v>
      </c>
      <c r="BD492">
        <v>1127</v>
      </c>
      <c r="BE492">
        <v>1162.0705</v>
      </c>
      <c r="BF492">
        <v>1098.3522</v>
      </c>
      <c r="BG492">
        <v>1103.8252</v>
      </c>
    </row>
    <row r="493" spans="54:59" x14ac:dyDescent="0.3">
      <c r="BB493">
        <v>1168</v>
      </c>
      <c r="BC493">
        <v>1097</v>
      </c>
      <c r="BD493">
        <v>1031</v>
      </c>
      <c r="BE493">
        <v>1169.5725</v>
      </c>
      <c r="BF493">
        <v>1098.3166000000001</v>
      </c>
      <c r="BG493">
        <v>995.28060000000005</v>
      </c>
    </row>
    <row r="494" spans="54:59" x14ac:dyDescent="0.3">
      <c r="BB494">
        <v>1169</v>
      </c>
      <c r="BC494">
        <v>1098</v>
      </c>
      <c r="BD494">
        <v>909</v>
      </c>
      <c r="BE494">
        <v>1176.3668</v>
      </c>
      <c r="BF494">
        <v>1098.1880000000001</v>
      </c>
      <c r="BG494">
        <v>889.6508</v>
      </c>
    </row>
    <row r="495" spans="54:59" x14ac:dyDescent="0.3">
      <c r="BB495">
        <v>1180</v>
      </c>
      <c r="BC495">
        <v>1098</v>
      </c>
      <c r="BD495">
        <v>839</v>
      </c>
      <c r="BE495">
        <v>1182.2566999999999</v>
      </c>
      <c r="BF495">
        <v>1097.9702</v>
      </c>
      <c r="BG495">
        <v>790.00710000000004</v>
      </c>
    </row>
    <row r="496" spans="54:59" x14ac:dyDescent="0.3">
      <c r="BB496">
        <v>1185</v>
      </c>
      <c r="BC496">
        <v>1098</v>
      </c>
      <c r="BD496">
        <v>742</v>
      </c>
      <c r="BE496">
        <v>1187.0723</v>
      </c>
      <c r="BF496">
        <v>1097.6702</v>
      </c>
      <c r="BG496">
        <v>699.24360000000001</v>
      </c>
    </row>
    <row r="497" spans="54:59" x14ac:dyDescent="0.3">
      <c r="BB497">
        <v>1193</v>
      </c>
      <c r="BC497">
        <v>1097</v>
      </c>
      <c r="BD497">
        <v>654</v>
      </c>
      <c r="BE497">
        <v>1190.675</v>
      </c>
      <c r="BF497">
        <v>1097.297</v>
      </c>
      <c r="BG497">
        <v>619.99210000000005</v>
      </c>
    </row>
    <row r="498" spans="54:59" x14ac:dyDescent="0.3">
      <c r="BB498">
        <v>1191</v>
      </c>
      <c r="BC498">
        <v>1096</v>
      </c>
      <c r="BD498">
        <v>576</v>
      </c>
      <c r="BE498">
        <v>1192.9621999999999</v>
      </c>
      <c r="BF498">
        <v>1096.8620000000001</v>
      </c>
      <c r="BG498">
        <v>554.54539999999997</v>
      </c>
    </row>
    <row r="499" spans="54:59" x14ac:dyDescent="0.3">
      <c r="BB499">
        <v>1193</v>
      </c>
      <c r="BC499">
        <v>1095</v>
      </c>
      <c r="BD499">
        <v>513</v>
      </c>
      <c r="BE499">
        <v>1193.8696</v>
      </c>
      <c r="BF499">
        <v>1096.3784000000001</v>
      </c>
      <c r="BG499">
        <v>504.78989999999999</v>
      </c>
    </row>
    <row r="500" spans="54:59" x14ac:dyDescent="0.3">
      <c r="BB500">
        <v>1196</v>
      </c>
      <c r="BC500">
        <v>1095</v>
      </c>
      <c r="BD500">
        <v>468</v>
      </c>
      <c r="BE500">
        <v>1193.3733999999999</v>
      </c>
      <c r="BF500">
        <v>1095.8607999999999</v>
      </c>
      <c r="BG500">
        <v>472.1506</v>
      </c>
    </row>
    <row r="501" spans="54:59" x14ac:dyDescent="0.3">
      <c r="BB501">
        <v>1193</v>
      </c>
      <c r="BC501">
        <v>1095</v>
      </c>
      <c r="BD501">
        <v>450</v>
      </c>
      <c r="BE501">
        <v>1191.4911</v>
      </c>
      <c r="BF501">
        <v>1095.3248000000001</v>
      </c>
      <c r="BG501">
        <v>457.5498</v>
      </c>
    </row>
    <row r="502" spans="54:59" x14ac:dyDescent="0.3">
      <c r="BB502">
        <v>1189</v>
      </c>
      <c r="BC502">
        <v>1095</v>
      </c>
      <c r="BD502">
        <v>452</v>
      </c>
      <c r="BE502">
        <v>1188.2804000000001</v>
      </c>
      <c r="BF502">
        <v>1094.7864999999999</v>
      </c>
      <c r="BG502">
        <v>461.38080000000002</v>
      </c>
    </row>
    <row r="503" spans="54:59" x14ac:dyDescent="0.3">
      <c r="BB503">
        <v>1186</v>
      </c>
      <c r="BC503">
        <v>1094</v>
      </c>
      <c r="BD503">
        <v>470</v>
      </c>
      <c r="BE503">
        <v>1183.838</v>
      </c>
      <c r="BF503">
        <v>1094.2621999999999</v>
      </c>
      <c r="BG503">
        <v>483.49639999999999</v>
      </c>
    </row>
    <row r="504" spans="54:59" x14ac:dyDescent="0.3">
      <c r="BB504">
        <v>1176</v>
      </c>
      <c r="BC504">
        <v>1094</v>
      </c>
      <c r="BD504">
        <v>507</v>
      </c>
      <c r="BE504">
        <v>1178.2963</v>
      </c>
      <c r="BF504">
        <v>1093.7674999999999</v>
      </c>
      <c r="BG504">
        <v>523.21460000000002</v>
      </c>
    </row>
    <row r="505" spans="54:59" x14ac:dyDescent="0.3">
      <c r="BB505">
        <v>1173</v>
      </c>
      <c r="BC505">
        <v>1093</v>
      </c>
      <c r="BD505">
        <v>557</v>
      </c>
      <c r="BE505">
        <v>1171.8198</v>
      </c>
      <c r="BF505">
        <v>1093.3173999999999</v>
      </c>
      <c r="BG505">
        <v>579.33950000000004</v>
      </c>
    </row>
    <row r="506" spans="54:59" x14ac:dyDescent="0.3">
      <c r="BB506">
        <v>1168</v>
      </c>
      <c r="BC506">
        <v>1092</v>
      </c>
      <c r="BD506">
        <v>613</v>
      </c>
      <c r="BE506">
        <v>1164.5996</v>
      </c>
      <c r="BF506">
        <v>1092.9255000000001</v>
      </c>
      <c r="BG506">
        <v>650.197</v>
      </c>
    </row>
    <row r="507" spans="54:59" x14ac:dyDescent="0.3">
      <c r="BB507">
        <v>1162</v>
      </c>
      <c r="BC507">
        <v>1092</v>
      </c>
      <c r="BD507">
        <v>681</v>
      </c>
      <c r="BE507">
        <v>1156.8484000000001</v>
      </c>
      <c r="BF507">
        <v>1092.6034</v>
      </c>
      <c r="BG507">
        <v>733.68560000000002</v>
      </c>
    </row>
    <row r="508" spans="54:59" x14ac:dyDescent="0.3">
      <c r="BB508">
        <v>1150</v>
      </c>
      <c r="BC508">
        <v>1092</v>
      </c>
      <c r="BD508">
        <v>759</v>
      </c>
      <c r="BE508">
        <v>1148.7934</v>
      </c>
      <c r="BF508">
        <v>1092.3610000000001</v>
      </c>
      <c r="BG508">
        <v>827.33889999999997</v>
      </c>
    </row>
    <row r="509" spans="54:59" x14ac:dyDescent="0.3">
      <c r="BB509">
        <v>1145</v>
      </c>
      <c r="BC509">
        <v>1091</v>
      </c>
      <c r="BD509">
        <v>853</v>
      </c>
      <c r="BE509">
        <v>1140.6704999999999</v>
      </c>
      <c r="BF509">
        <v>1092.2055</v>
      </c>
      <c r="BG509">
        <v>928.39949999999999</v>
      </c>
    </row>
    <row r="510" spans="54:59" x14ac:dyDescent="0.3">
      <c r="BB510">
        <v>1138</v>
      </c>
      <c r="BC510">
        <v>1091</v>
      </c>
      <c r="BD510">
        <v>954</v>
      </c>
      <c r="BE510">
        <v>1132.7163</v>
      </c>
      <c r="BF510">
        <v>1092.1415999999999</v>
      </c>
      <c r="BG510">
        <v>1033.9005999999999</v>
      </c>
    </row>
    <row r="511" spans="54:59" x14ac:dyDescent="0.3">
      <c r="BB511">
        <v>1129</v>
      </c>
      <c r="BC511">
        <v>1092</v>
      </c>
      <c r="BD511">
        <v>1057</v>
      </c>
      <c r="BE511">
        <v>1125.162</v>
      </c>
      <c r="BF511">
        <v>1092.1714999999999</v>
      </c>
      <c r="BG511">
        <v>1140.7547</v>
      </c>
    </row>
    <row r="512" spans="54:59" x14ac:dyDescent="0.3">
      <c r="BB512">
        <v>1115</v>
      </c>
      <c r="BC512">
        <v>1092</v>
      </c>
      <c r="BD512">
        <v>1265</v>
      </c>
      <c r="BE512">
        <v>1118.2258999999999</v>
      </c>
      <c r="BF512">
        <v>1092.2943</v>
      </c>
      <c r="BG512">
        <v>1245.8443</v>
      </c>
    </row>
    <row r="513" spans="54:59" x14ac:dyDescent="0.3">
      <c r="BB513">
        <v>1104</v>
      </c>
      <c r="BC513">
        <v>1092</v>
      </c>
      <c r="BD513">
        <v>1345</v>
      </c>
      <c r="BE513">
        <v>1112.1074000000001</v>
      </c>
      <c r="BF513">
        <v>1092.5064</v>
      </c>
      <c r="BG513">
        <v>1346.1147000000001</v>
      </c>
    </row>
    <row r="514" spans="54:59" x14ac:dyDescent="0.3">
      <c r="BB514">
        <v>1104</v>
      </c>
      <c r="BC514">
        <v>1091</v>
      </c>
      <c r="BD514">
        <v>1454</v>
      </c>
      <c r="BE514">
        <v>1106.981</v>
      </c>
      <c r="BF514">
        <v>1092.8016</v>
      </c>
      <c r="BG514">
        <v>1438.6638</v>
      </c>
    </row>
    <row r="515" spans="54:59" x14ac:dyDescent="0.3">
      <c r="BB515">
        <v>1100</v>
      </c>
      <c r="BC515">
        <v>1092</v>
      </c>
      <c r="BD515">
        <v>1540</v>
      </c>
      <c r="BE515">
        <v>1102.9916000000001</v>
      </c>
      <c r="BF515">
        <v>1093.1713999999999</v>
      </c>
      <c r="BG515">
        <v>1520.827</v>
      </c>
    </row>
    <row r="516" spans="54:59" x14ac:dyDescent="0.3">
      <c r="BB516">
        <v>1100</v>
      </c>
      <c r="BC516">
        <v>1092</v>
      </c>
      <c r="BD516">
        <v>1611</v>
      </c>
      <c r="BE516">
        <v>1100.2496000000001</v>
      </c>
      <c r="BF516">
        <v>1093.6048000000001</v>
      </c>
      <c r="BG516">
        <v>1590.2551000000001</v>
      </c>
    </row>
    <row r="517" spans="54:59" x14ac:dyDescent="0.3">
      <c r="BB517">
        <v>1095</v>
      </c>
      <c r="BC517">
        <v>1093</v>
      </c>
      <c r="BD517">
        <v>1678</v>
      </c>
      <c r="BE517">
        <v>1098.8287</v>
      </c>
      <c r="BF517">
        <v>1094.0890999999999</v>
      </c>
      <c r="BG517">
        <v>1644.9827</v>
      </c>
    </row>
    <row r="518" spans="54:59" x14ac:dyDescent="0.3">
      <c r="BB518">
        <v>1095</v>
      </c>
      <c r="BC518">
        <v>1093</v>
      </c>
      <c r="BD518">
        <v>1721</v>
      </c>
      <c r="BE518">
        <v>1098.7633000000001</v>
      </c>
      <c r="BF518">
        <v>1094.6101000000001</v>
      </c>
      <c r="BG518">
        <v>1683.4843000000001</v>
      </c>
    </row>
    <row r="519" spans="54:59" x14ac:dyDescent="0.3">
      <c r="BB519">
        <v>1099</v>
      </c>
      <c r="BC519">
        <v>1095</v>
      </c>
      <c r="BD519">
        <v>1741</v>
      </c>
      <c r="BE519">
        <v>1100.0477000000001</v>
      </c>
      <c r="BF519">
        <v>1095.1525999999999</v>
      </c>
      <c r="BG519">
        <v>1704.7173</v>
      </c>
    </row>
    <row r="520" spans="54:59" x14ac:dyDescent="0.3">
      <c r="BB520">
        <v>1101</v>
      </c>
      <c r="BC520">
        <v>1095</v>
      </c>
      <c r="BD520">
        <v>1735</v>
      </c>
      <c r="BE520">
        <v>1102.6369</v>
      </c>
      <c r="BF520">
        <v>1095.7004999999999</v>
      </c>
      <c r="BG520">
        <v>1708.1506999999999</v>
      </c>
    </row>
    <row r="521" spans="54:59" x14ac:dyDescent="0.3">
      <c r="BB521">
        <v>1103</v>
      </c>
      <c r="BC521">
        <v>1095</v>
      </c>
      <c r="BD521">
        <v>1714</v>
      </c>
      <c r="BE521">
        <v>1106.4477999999999</v>
      </c>
      <c r="BF521">
        <v>1096.2381</v>
      </c>
      <c r="BG521">
        <v>1693.7781</v>
      </c>
    </row>
    <row r="522" spans="54:59" x14ac:dyDescent="0.3">
      <c r="BB522">
        <v>1109</v>
      </c>
      <c r="BC522">
        <v>1095</v>
      </c>
      <c r="BD522">
        <v>1676</v>
      </c>
      <c r="BE522">
        <v>1111.3621000000001</v>
      </c>
      <c r="BF522">
        <v>1096.7494999999999</v>
      </c>
      <c r="BG522">
        <v>1662.1148000000001</v>
      </c>
    </row>
    <row r="523" spans="54:59" x14ac:dyDescent="0.3">
      <c r="BB523">
        <v>1110</v>
      </c>
      <c r="BC523">
        <v>1098</v>
      </c>
      <c r="BD523">
        <v>1628</v>
      </c>
      <c r="BE523">
        <v>1117.2298000000001</v>
      </c>
      <c r="BF523">
        <v>1097.22</v>
      </c>
      <c r="BG523">
        <v>1614.1799000000001</v>
      </c>
    </row>
    <row r="524" spans="54:59" x14ac:dyDescent="0.3">
      <c r="BB524">
        <v>1119</v>
      </c>
      <c r="BC524">
        <v>1097</v>
      </c>
      <c r="BD524">
        <v>1567</v>
      </c>
      <c r="BE524">
        <v>1123.8742999999999</v>
      </c>
      <c r="BF524">
        <v>1097.6360999999999</v>
      </c>
      <c r="BG524">
        <v>1551.4626000000001</v>
      </c>
    </row>
    <row r="525" spans="54:59" x14ac:dyDescent="0.3">
      <c r="BB525">
        <v>1129</v>
      </c>
      <c r="BC525">
        <v>1098</v>
      </c>
      <c r="BD525">
        <v>1499</v>
      </c>
      <c r="BE525">
        <v>1131.0971</v>
      </c>
      <c r="BF525">
        <v>1097.9857</v>
      </c>
      <c r="BG525">
        <v>1475.8759</v>
      </c>
    </row>
    <row r="526" spans="54:59" x14ac:dyDescent="0.3">
      <c r="BB526">
        <v>1136</v>
      </c>
      <c r="BC526">
        <v>1095</v>
      </c>
      <c r="BD526">
        <v>1421</v>
      </c>
      <c r="BE526">
        <v>1138.6847</v>
      </c>
      <c r="BF526">
        <v>1098.259</v>
      </c>
      <c r="BG526">
        <v>1389.6964</v>
      </c>
    </row>
    <row r="527" spans="54:59" x14ac:dyDescent="0.3">
      <c r="BB527">
        <v>1142</v>
      </c>
      <c r="BC527">
        <v>1099</v>
      </c>
      <c r="BD527">
        <v>1333</v>
      </c>
      <c r="BE527">
        <v>1146.4143999999999</v>
      </c>
      <c r="BF527">
        <v>1098.4483</v>
      </c>
      <c r="BG527">
        <v>1295.4948999999999</v>
      </c>
    </row>
    <row r="528" spans="54:59" x14ac:dyDescent="0.3">
      <c r="BB528">
        <v>1152</v>
      </c>
      <c r="BC528">
        <v>1098</v>
      </c>
      <c r="BD528">
        <v>1234</v>
      </c>
      <c r="BE528">
        <v>1154.0612000000001</v>
      </c>
      <c r="BF528">
        <v>1098.5486000000001</v>
      </c>
      <c r="BG528">
        <v>1196.0581999999999</v>
      </c>
    </row>
    <row r="529" spans="54:59" x14ac:dyDescent="0.3">
      <c r="BB529">
        <v>1160</v>
      </c>
      <c r="BC529">
        <v>1100</v>
      </c>
      <c r="BD529">
        <v>1138</v>
      </c>
      <c r="BE529">
        <v>1161.4043999999999</v>
      </c>
      <c r="BF529">
        <v>1098.5573999999999</v>
      </c>
      <c r="BG529">
        <v>1094.3049000000001</v>
      </c>
    </row>
    <row r="530" spans="54:59" x14ac:dyDescent="0.3">
      <c r="BB530">
        <v>1165</v>
      </c>
      <c r="BC530">
        <v>1099</v>
      </c>
      <c r="BD530">
        <v>1041</v>
      </c>
      <c r="BE530">
        <v>1168.2344000000001</v>
      </c>
      <c r="BF530">
        <v>1098.4748999999999</v>
      </c>
      <c r="BG530">
        <v>993.19809999999995</v>
      </c>
    </row>
    <row r="531" spans="54:59" x14ac:dyDescent="0.3">
      <c r="BB531">
        <v>1171</v>
      </c>
      <c r="BC531">
        <v>1098</v>
      </c>
      <c r="BD531">
        <v>951</v>
      </c>
      <c r="BE531">
        <v>1174.3580999999999</v>
      </c>
      <c r="BF531">
        <v>1098.3039000000001</v>
      </c>
      <c r="BG531">
        <v>895.65740000000005</v>
      </c>
    </row>
    <row r="532" spans="54:59" x14ac:dyDescent="0.3">
      <c r="BB532">
        <v>1181</v>
      </c>
      <c r="BC532">
        <v>1098</v>
      </c>
      <c r="BD532">
        <v>843</v>
      </c>
      <c r="BE532">
        <v>1179.6052999999999</v>
      </c>
      <c r="BF532">
        <v>1098.05</v>
      </c>
      <c r="BG532">
        <v>804.47320000000002</v>
      </c>
    </row>
    <row r="533" spans="54:59" x14ac:dyDescent="0.3">
      <c r="BB533">
        <v>1181</v>
      </c>
      <c r="BC533">
        <v>1095</v>
      </c>
      <c r="BD533">
        <v>741</v>
      </c>
      <c r="BE533">
        <v>1183.8329000000001</v>
      </c>
      <c r="BF533">
        <v>1097.721</v>
      </c>
      <c r="BG533">
        <v>722.22550000000001</v>
      </c>
    </row>
    <row r="534" spans="54:59" x14ac:dyDescent="0.3">
      <c r="BB534">
        <v>1188</v>
      </c>
      <c r="BC534">
        <v>1095</v>
      </c>
      <c r="BD534">
        <v>659</v>
      </c>
      <c r="BE534">
        <v>1186.9289000000001</v>
      </c>
      <c r="BF534">
        <v>1097.3269</v>
      </c>
      <c r="BG534">
        <v>651.20939999999996</v>
      </c>
    </row>
    <row r="535" spans="54:59" x14ac:dyDescent="0.3">
      <c r="BB535">
        <v>1191</v>
      </c>
      <c r="BC535">
        <v>1098</v>
      </c>
      <c r="BD535">
        <v>582</v>
      </c>
      <c r="BE535">
        <v>1188.8157000000001</v>
      </c>
      <c r="BF535">
        <v>1096.8795</v>
      </c>
      <c r="BG535">
        <v>593.37099999999998</v>
      </c>
    </row>
    <row r="536" spans="54:59" x14ac:dyDescent="0.3">
      <c r="BB536">
        <v>1193</v>
      </c>
      <c r="BC536">
        <v>1095</v>
      </c>
      <c r="BD536">
        <v>516</v>
      </c>
      <c r="BE536">
        <v>1189.4513999999999</v>
      </c>
      <c r="BF536">
        <v>1096.3921</v>
      </c>
      <c r="BG536">
        <v>550.25279999999998</v>
      </c>
    </row>
    <row r="537" spans="54:59" x14ac:dyDescent="0.3">
      <c r="BB537">
        <v>1193</v>
      </c>
      <c r="BC537">
        <v>1097</v>
      </c>
      <c r="BD537">
        <v>473</v>
      </c>
      <c r="BE537">
        <v>1188.8313000000001</v>
      </c>
      <c r="BF537">
        <v>1095.8788</v>
      </c>
      <c r="BG537">
        <v>522.95339999999999</v>
      </c>
    </row>
    <row r="538" spans="54:59" x14ac:dyDescent="0.3">
      <c r="BB538">
        <v>1191</v>
      </c>
      <c r="BC538">
        <v>1095</v>
      </c>
      <c r="BD538">
        <v>453</v>
      </c>
      <c r="BE538">
        <v>1186.9869000000001</v>
      </c>
      <c r="BF538">
        <v>1095.3545999999999</v>
      </c>
      <c r="BG538">
        <v>512.09990000000005</v>
      </c>
    </row>
    <row r="539" spans="54:59" x14ac:dyDescent="0.3">
      <c r="BB539">
        <v>1191</v>
      </c>
      <c r="BC539">
        <v>1095</v>
      </c>
      <c r="BD539">
        <v>452</v>
      </c>
      <c r="BE539">
        <v>1183.9848999999999</v>
      </c>
      <c r="BF539">
        <v>1094.8345999999999</v>
      </c>
      <c r="BG539">
        <v>517.83519999999999</v>
      </c>
    </row>
    <row r="540" spans="54:59" x14ac:dyDescent="0.3">
      <c r="BB540">
        <v>1186</v>
      </c>
      <c r="BC540">
        <v>1094</v>
      </c>
      <c r="BD540">
        <v>469</v>
      </c>
      <c r="BE540">
        <v>1179.9244000000001</v>
      </c>
      <c r="BF540">
        <v>1094.3334</v>
      </c>
      <c r="BG540">
        <v>539.81979999999999</v>
      </c>
    </row>
    <row r="541" spans="54:59" x14ac:dyDescent="0.3">
      <c r="BB541">
        <v>1182</v>
      </c>
      <c r="BC541">
        <v>1094</v>
      </c>
      <c r="BD541">
        <v>501</v>
      </c>
      <c r="BE541">
        <v>1174.9340999999999</v>
      </c>
      <c r="BF541">
        <v>1093.8651</v>
      </c>
      <c r="BG541">
        <v>577.24829999999997</v>
      </c>
    </row>
    <row r="542" spans="54:59" x14ac:dyDescent="0.3">
      <c r="BB542">
        <v>1176</v>
      </c>
      <c r="BC542">
        <v>1093</v>
      </c>
      <c r="BD542">
        <v>546</v>
      </c>
      <c r="BE542">
        <v>1169.1674</v>
      </c>
      <c r="BF542">
        <v>1093.4425000000001</v>
      </c>
      <c r="BG542">
        <v>628.87890000000004</v>
      </c>
    </row>
    <row r="543" spans="54:59" x14ac:dyDescent="0.3">
      <c r="BB543">
        <v>1167</v>
      </c>
      <c r="BC543">
        <v>1091</v>
      </c>
      <c r="BD543">
        <v>600</v>
      </c>
      <c r="BE543">
        <v>1162.7978000000001</v>
      </c>
      <c r="BF543">
        <v>1093.0771</v>
      </c>
      <c r="BG543">
        <v>693.07669999999996</v>
      </c>
    </row>
    <row r="544" spans="54:59" x14ac:dyDescent="0.3">
      <c r="BB544">
        <v>1161</v>
      </c>
      <c r="BC544">
        <v>1093</v>
      </c>
      <c r="BD544">
        <v>668</v>
      </c>
      <c r="BE544">
        <v>1156.0135</v>
      </c>
      <c r="BF544">
        <v>1092.7782</v>
      </c>
      <c r="BG544">
        <v>767.86689999999999</v>
      </c>
    </row>
    <row r="545" spans="54:59" x14ac:dyDescent="0.3">
      <c r="BB545">
        <v>1153</v>
      </c>
      <c r="BC545">
        <v>1092</v>
      </c>
      <c r="BD545">
        <v>748</v>
      </c>
      <c r="BE545">
        <v>1149.0118</v>
      </c>
      <c r="BF545">
        <v>1092.5535</v>
      </c>
      <c r="BG545">
        <v>850.99789999999996</v>
      </c>
    </row>
    <row r="546" spans="54:59" x14ac:dyDescent="0.3">
      <c r="BB546">
        <v>1142</v>
      </c>
      <c r="BC546">
        <v>1091</v>
      </c>
      <c r="BD546">
        <v>838</v>
      </c>
      <c r="BE546">
        <v>1141.9927</v>
      </c>
      <c r="BF546">
        <v>1092.4079999999999</v>
      </c>
      <c r="BG546">
        <v>940.01210000000003</v>
      </c>
    </row>
    <row r="547" spans="54:59" x14ac:dyDescent="0.3">
      <c r="BB547">
        <v>1137</v>
      </c>
      <c r="BC547">
        <v>1092</v>
      </c>
      <c r="BD547">
        <v>938</v>
      </c>
      <c r="BE547">
        <v>1135.1534999999999</v>
      </c>
      <c r="BF547">
        <v>1092.3445999999999</v>
      </c>
      <c r="BG547">
        <v>1032.3204000000001</v>
      </c>
    </row>
    <row r="548" spans="54:59" x14ac:dyDescent="0.3">
      <c r="BB548">
        <v>1131</v>
      </c>
      <c r="BC548">
        <v>1091</v>
      </c>
      <c r="BD548">
        <v>1140</v>
      </c>
      <c r="BE548">
        <v>1128.6828</v>
      </c>
      <c r="BF548">
        <v>1092.3638000000001</v>
      </c>
      <c r="BG548">
        <v>1125.2808</v>
      </c>
    </row>
    <row r="549" spans="54:59" x14ac:dyDescent="0.3">
      <c r="BB549">
        <v>1114</v>
      </c>
      <c r="BC549">
        <v>1089</v>
      </c>
      <c r="BD549">
        <v>1205</v>
      </c>
      <c r="BE549">
        <v>1122.7553</v>
      </c>
      <c r="BF549">
        <v>1092.4634000000001</v>
      </c>
      <c r="BG549">
        <v>1216.2755999999999</v>
      </c>
    </row>
    <row r="550" spans="54:59" x14ac:dyDescent="0.3">
      <c r="BB550">
        <v>1110</v>
      </c>
      <c r="BC550">
        <v>1092</v>
      </c>
      <c r="BD550">
        <v>1348</v>
      </c>
      <c r="BE550">
        <v>1117.527</v>
      </c>
      <c r="BF550">
        <v>1092.6392000000001</v>
      </c>
      <c r="BG550">
        <v>1302.7878000000001</v>
      </c>
    </row>
    <row r="551" spans="54:59" x14ac:dyDescent="0.3">
      <c r="BB551">
        <v>1107</v>
      </c>
      <c r="BC551">
        <v>1091</v>
      </c>
      <c r="BD551">
        <v>1445</v>
      </c>
      <c r="BE551">
        <v>1113.1310000000001</v>
      </c>
      <c r="BF551">
        <v>1092.8849</v>
      </c>
      <c r="BG551">
        <v>1382.4719</v>
      </c>
    </row>
    <row r="552" spans="54:59" x14ac:dyDescent="0.3">
      <c r="BB552">
        <v>1101</v>
      </c>
      <c r="BC552">
        <v>1092</v>
      </c>
      <c r="BD552">
        <v>1523</v>
      </c>
      <c r="BE552">
        <v>1109.6742999999999</v>
      </c>
      <c r="BF552">
        <v>1093.1921</v>
      </c>
      <c r="BG552">
        <v>1453.2188000000001</v>
      </c>
    </row>
    <row r="553" spans="54:59" x14ac:dyDescent="0.3">
      <c r="BB553">
        <v>1097</v>
      </c>
      <c r="BC553">
        <v>1093</v>
      </c>
      <c r="BD553">
        <v>1607</v>
      </c>
      <c r="BE553">
        <v>1107.2352000000001</v>
      </c>
      <c r="BF553">
        <v>1093.5509</v>
      </c>
      <c r="BG553">
        <v>1513.2112999999999</v>
      </c>
    </row>
    <row r="554" spans="54:59" x14ac:dyDescent="0.3">
      <c r="BB554">
        <v>1095</v>
      </c>
      <c r="BC554">
        <v>1093</v>
      </c>
      <c r="BD554">
        <v>1671</v>
      </c>
      <c r="BE554">
        <v>1105.8619000000001</v>
      </c>
      <c r="BF554">
        <v>1093.9503999999999</v>
      </c>
      <c r="BG554">
        <v>1560.9712</v>
      </c>
    </row>
    <row r="555" spans="54:59" x14ac:dyDescent="0.3">
      <c r="BB555">
        <v>1093</v>
      </c>
      <c r="BC555">
        <v>1093</v>
      </c>
      <c r="BD555">
        <v>1710</v>
      </c>
      <c r="BE555">
        <v>1105.5716</v>
      </c>
      <c r="BF555">
        <v>1094.3784000000001</v>
      </c>
      <c r="BG555">
        <v>1595.3933999999999</v>
      </c>
    </row>
    <row r="556" spans="54:59" x14ac:dyDescent="0.3">
      <c r="BB556">
        <v>1096</v>
      </c>
      <c r="BC556">
        <v>1094</v>
      </c>
      <c r="BD556">
        <v>1734</v>
      </c>
      <c r="BE556">
        <v>1106.3511000000001</v>
      </c>
      <c r="BF556">
        <v>1094.8224</v>
      </c>
      <c r="BG556">
        <v>1615.7695000000001</v>
      </c>
    </row>
    <row r="557" spans="54:59" x14ac:dyDescent="0.3">
      <c r="BB557">
        <v>1099</v>
      </c>
      <c r="BC557">
        <v>1095</v>
      </c>
      <c r="BD557">
        <v>1735</v>
      </c>
      <c r="BE557">
        <v>1108.1577</v>
      </c>
      <c r="BF557">
        <v>1095.2697000000001</v>
      </c>
      <c r="BG557">
        <v>1621.7982</v>
      </c>
    </row>
    <row r="558" spans="54:59" x14ac:dyDescent="0.3">
      <c r="BB558">
        <v>1106</v>
      </c>
      <c r="BC558">
        <v>1096</v>
      </c>
      <c r="BD558">
        <v>1720</v>
      </c>
      <c r="BE558">
        <v>1110.9218000000001</v>
      </c>
      <c r="BF558">
        <v>1095.7079000000001</v>
      </c>
      <c r="BG558">
        <v>1613.5838000000001</v>
      </c>
    </row>
    <row r="559" spans="54:59" x14ac:dyDescent="0.3">
      <c r="BB559">
        <v>1107</v>
      </c>
      <c r="BC559">
        <v>1095</v>
      </c>
      <c r="BD559">
        <v>1683</v>
      </c>
      <c r="BE559">
        <v>1114.5489</v>
      </c>
      <c r="BF559">
        <v>1096.1251</v>
      </c>
      <c r="BG559">
        <v>1591.6222</v>
      </c>
    </row>
    <row r="560" spans="54:59" x14ac:dyDescent="0.3">
      <c r="BB560">
        <v>1111</v>
      </c>
      <c r="BC560">
        <v>1095</v>
      </c>
      <c r="BD560">
        <v>1637</v>
      </c>
      <c r="BE560">
        <v>1118.9238</v>
      </c>
      <c r="BF560">
        <v>1096.5105000000001</v>
      </c>
      <c r="BG560">
        <v>1556.7763</v>
      </c>
    </row>
    <row r="561" spans="54:59" x14ac:dyDescent="0.3">
      <c r="BB561">
        <v>1120</v>
      </c>
      <c r="BC561">
        <v>1096</v>
      </c>
      <c r="BD561">
        <v>1582</v>
      </c>
      <c r="BE561">
        <v>1123.9139</v>
      </c>
      <c r="BF561">
        <v>1096.8542</v>
      </c>
      <c r="BG561">
        <v>1510.2411</v>
      </c>
    </row>
    <row r="562" spans="54:59" x14ac:dyDescent="0.3">
      <c r="BB562">
        <v>1126</v>
      </c>
      <c r="BC562">
        <v>1097</v>
      </c>
      <c r="BD562">
        <v>1516</v>
      </c>
      <c r="BE562">
        <v>1129.3741</v>
      </c>
      <c r="BF562">
        <v>1097.1482000000001</v>
      </c>
      <c r="BG562">
        <v>1453.4996000000001</v>
      </c>
    </row>
    <row r="563" spans="54:59" x14ac:dyDescent="0.3">
      <c r="BB563">
        <v>1135</v>
      </c>
      <c r="BC563">
        <v>1099</v>
      </c>
      <c r="BD563">
        <v>1436</v>
      </c>
      <c r="BE563">
        <v>1135.1505999999999</v>
      </c>
      <c r="BF563">
        <v>1097.3858</v>
      </c>
      <c r="BG563">
        <v>1388.2725</v>
      </c>
    </row>
    <row r="564" spans="54:59" x14ac:dyDescent="0.3">
      <c r="BB564">
        <v>1143</v>
      </c>
      <c r="BC564">
        <v>1098</v>
      </c>
      <c r="BD564">
        <v>1346</v>
      </c>
      <c r="BE564">
        <v>1141.0863999999999</v>
      </c>
      <c r="BF564">
        <v>1097.5623000000001</v>
      </c>
      <c r="BG564">
        <v>1316.4618</v>
      </c>
    </row>
    <row r="565" spans="54:59" x14ac:dyDescent="0.3">
      <c r="BB565">
        <v>1146</v>
      </c>
      <c r="BC565">
        <v>1099</v>
      </c>
      <c r="BD565">
        <v>1247</v>
      </c>
      <c r="BE565">
        <v>1147.0250000000001</v>
      </c>
      <c r="BF565">
        <v>1097.6749</v>
      </c>
      <c r="BG565">
        <v>1240.0917999999999</v>
      </c>
    </row>
    <row r="566" spans="54:59" x14ac:dyDescent="0.3">
      <c r="BB566">
        <v>1157</v>
      </c>
      <c r="BC566">
        <v>1098</v>
      </c>
      <c r="BD566">
        <v>1145</v>
      </c>
      <c r="BE566">
        <v>1152.8151</v>
      </c>
      <c r="BF566">
        <v>1097.7225000000001</v>
      </c>
      <c r="BG566">
        <v>1161.248</v>
      </c>
    </row>
    <row r="567" spans="54:59" x14ac:dyDescent="0.3">
      <c r="BB567">
        <v>1166</v>
      </c>
      <c r="BC567">
        <v>1098</v>
      </c>
      <c r="BD567">
        <v>1046</v>
      </c>
      <c r="BE567">
        <v>1158.3145</v>
      </c>
      <c r="BF567">
        <v>1097.7059999999999</v>
      </c>
      <c r="BG567">
        <v>1082.0170000000001</v>
      </c>
    </row>
    <row r="568" spans="54:59" x14ac:dyDescent="0.3">
      <c r="BB568">
        <v>1172</v>
      </c>
      <c r="BC568">
        <v>1095</v>
      </c>
      <c r="BD568">
        <v>966</v>
      </c>
      <c r="BE568">
        <v>1163.3938000000001</v>
      </c>
      <c r="BF568">
        <v>1097.6279999999999</v>
      </c>
      <c r="BG568">
        <v>1004.4286</v>
      </c>
    </row>
    <row r="569" spans="54:59" x14ac:dyDescent="0.3">
      <c r="BB569">
        <v>1178</v>
      </c>
      <c r="BC569">
        <v>1096</v>
      </c>
      <c r="BD569">
        <v>843</v>
      </c>
      <c r="BE569">
        <v>1167.9392</v>
      </c>
      <c r="BF569">
        <v>1097.4926</v>
      </c>
      <c r="BG569">
        <v>930.40239999999994</v>
      </c>
    </row>
    <row r="570" spans="54:59" x14ac:dyDescent="0.3">
      <c r="BB570">
        <v>1183</v>
      </c>
      <c r="BC570">
        <v>1097</v>
      </c>
      <c r="BD570">
        <v>758</v>
      </c>
      <c r="BE570">
        <v>1171.8547000000001</v>
      </c>
      <c r="BF570">
        <v>1097.3054999999999</v>
      </c>
      <c r="BG570">
        <v>861.69910000000004</v>
      </c>
    </row>
    <row r="571" spans="54:59" x14ac:dyDescent="0.3">
      <c r="BB571">
        <v>1191</v>
      </c>
      <c r="BC571">
        <v>1099</v>
      </c>
      <c r="BD571">
        <v>676</v>
      </c>
      <c r="BE571">
        <v>1175.0643</v>
      </c>
      <c r="BF571">
        <v>1097.0733</v>
      </c>
      <c r="BG571">
        <v>799.87950000000001</v>
      </c>
    </row>
    <row r="572" spans="54:59" x14ac:dyDescent="0.3">
      <c r="BB572">
        <v>1191</v>
      </c>
      <c r="BC572">
        <v>1098</v>
      </c>
      <c r="BD572">
        <v>593</v>
      </c>
      <c r="BE572">
        <v>1177.5128</v>
      </c>
      <c r="BF572">
        <v>1096.8036999999999</v>
      </c>
      <c r="BG572">
        <v>746.27099999999996</v>
      </c>
    </row>
    <row r="573" spans="54:59" x14ac:dyDescent="0.3">
      <c r="BB573">
        <v>1193</v>
      </c>
      <c r="BC573">
        <v>1095</v>
      </c>
      <c r="BD573">
        <v>530</v>
      </c>
      <c r="BE573">
        <v>1179.1659999999999</v>
      </c>
      <c r="BF573">
        <v>1096.5050000000001</v>
      </c>
      <c r="BG573">
        <v>701.94259999999997</v>
      </c>
    </row>
    <row r="574" spans="54:59" x14ac:dyDescent="0.3">
      <c r="BB574">
        <v>1194</v>
      </c>
      <c r="BC574">
        <v>1095</v>
      </c>
      <c r="BD574">
        <v>482</v>
      </c>
      <c r="BE574">
        <v>1180.0109</v>
      </c>
      <c r="BF574">
        <v>1096.1858999999999</v>
      </c>
      <c r="BG574">
        <v>667.68880000000001</v>
      </c>
    </row>
    <row r="575" spans="54:59" x14ac:dyDescent="0.3">
      <c r="BB575">
        <v>1189</v>
      </c>
      <c r="BC575">
        <v>1096</v>
      </c>
      <c r="BD575">
        <v>460</v>
      </c>
      <c r="BE575">
        <v>1180.0544</v>
      </c>
      <c r="BF575">
        <v>1095.855</v>
      </c>
      <c r="BG575">
        <v>644.02229999999997</v>
      </c>
    </row>
    <row r="576" spans="54:59" x14ac:dyDescent="0.3">
      <c r="BB576">
        <v>1190</v>
      </c>
      <c r="BC576">
        <v>1095</v>
      </c>
      <c r="BD576">
        <v>456</v>
      </c>
      <c r="BE576">
        <v>1179.3221000000001</v>
      </c>
      <c r="BF576">
        <v>1095.5209</v>
      </c>
      <c r="BG576">
        <v>631.17579999999998</v>
      </c>
    </row>
    <row r="577" spans="54:59" x14ac:dyDescent="0.3">
      <c r="BB577">
        <v>1187</v>
      </c>
      <c r="BC577">
        <v>1095</v>
      </c>
      <c r="BD577">
        <v>471</v>
      </c>
      <c r="BE577">
        <v>1177.8565000000001</v>
      </c>
      <c r="BF577">
        <v>1095.1918000000001</v>
      </c>
      <c r="BG577">
        <v>629.11109999999996</v>
      </c>
    </row>
    <row r="578" spans="54:59" x14ac:dyDescent="0.3">
      <c r="BB578">
        <v>1183</v>
      </c>
      <c r="BC578">
        <v>1092</v>
      </c>
      <c r="BD578">
        <v>503</v>
      </c>
      <c r="BE578">
        <v>1175.7146</v>
      </c>
      <c r="BF578">
        <v>1094.8751</v>
      </c>
      <c r="BG578">
        <v>637.53660000000002</v>
      </c>
    </row>
    <row r="579" spans="54:59" x14ac:dyDescent="0.3">
      <c r="BB579">
        <v>1174</v>
      </c>
      <c r="BC579">
        <v>1093</v>
      </c>
      <c r="BD579">
        <v>546</v>
      </c>
      <c r="BE579">
        <v>1172.9654</v>
      </c>
      <c r="BF579">
        <v>1094.5773999999999</v>
      </c>
      <c r="BG579">
        <v>655.9307</v>
      </c>
    </row>
    <row r="580" spans="54:59" x14ac:dyDescent="0.3">
      <c r="BB580">
        <v>1169</v>
      </c>
      <c r="BC580">
        <v>1092</v>
      </c>
      <c r="BD580">
        <v>596</v>
      </c>
      <c r="BE580">
        <v>1169.6872000000001</v>
      </c>
      <c r="BF580">
        <v>1094.3045999999999</v>
      </c>
      <c r="BG580">
        <v>683.57039999999995</v>
      </c>
    </row>
    <row r="581" spans="54:59" x14ac:dyDescent="0.3">
      <c r="BB581">
        <v>1163</v>
      </c>
      <c r="BC581">
        <v>1093</v>
      </c>
      <c r="BD581">
        <v>662</v>
      </c>
      <c r="BE581">
        <v>1165.9649999999999</v>
      </c>
      <c r="BF581">
        <v>1094.0610999999999</v>
      </c>
      <c r="BG581">
        <v>719.5643</v>
      </c>
    </row>
    <row r="582" spans="54:59" x14ac:dyDescent="0.3">
      <c r="BB582">
        <v>1155</v>
      </c>
      <c r="BC582">
        <v>1095</v>
      </c>
      <c r="BD582">
        <v>739</v>
      </c>
      <c r="BE582">
        <v>1161.8873000000001</v>
      </c>
      <c r="BF582">
        <v>1093.8505</v>
      </c>
      <c r="BG582">
        <v>762.88760000000002</v>
      </c>
    </row>
    <row r="583" spans="54:59" x14ac:dyDescent="0.3">
      <c r="BB583">
        <v>1146</v>
      </c>
      <c r="BC583">
        <v>1092</v>
      </c>
      <c r="BD583">
        <v>829</v>
      </c>
      <c r="BE583">
        <v>1157.5440000000001</v>
      </c>
      <c r="BF583">
        <v>1093.6751999999999</v>
      </c>
      <c r="BG583">
        <v>812.41970000000003</v>
      </c>
    </row>
    <row r="584" spans="54:59" x14ac:dyDescent="0.3">
      <c r="BB584">
        <v>1139</v>
      </c>
      <c r="BC584">
        <v>1092</v>
      </c>
      <c r="BD584">
        <v>925</v>
      </c>
      <c r="BE584">
        <v>1153.0234</v>
      </c>
      <c r="BF584">
        <v>1093.5363</v>
      </c>
      <c r="BG584">
        <v>866.98099999999999</v>
      </c>
    </row>
    <row r="585" spans="54:59" x14ac:dyDescent="0.3">
      <c r="BB585">
        <v>1127</v>
      </c>
      <c r="BC585">
        <v>1090</v>
      </c>
      <c r="BD585">
        <v>1025</v>
      </c>
      <c r="BE585">
        <v>1148.4102</v>
      </c>
      <c r="BF585">
        <v>1093.434</v>
      </c>
      <c r="BG585">
        <v>925.36829999999998</v>
      </c>
    </row>
    <row r="586" spans="54:59" x14ac:dyDescent="0.3">
      <c r="BB586">
        <v>1109</v>
      </c>
      <c r="BC586">
        <v>1087</v>
      </c>
      <c r="BD586">
        <v>1223</v>
      </c>
      <c r="BE586">
        <v>1143.7837999999999</v>
      </c>
      <c r="BF586">
        <v>1093.3674000000001</v>
      </c>
      <c r="BG586">
        <v>986.3895</v>
      </c>
    </row>
    <row r="587" spans="54:59" x14ac:dyDescent="0.3">
      <c r="BB587">
        <v>1110</v>
      </c>
      <c r="BC587">
        <v>1090</v>
      </c>
      <c r="BD587">
        <v>1336</v>
      </c>
      <c r="BE587">
        <v>1139.2162000000001</v>
      </c>
      <c r="BF587">
        <v>1093.3347000000001</v>
      </c>
      <c r="BG587">
        <v>1048.8934999999999</v>
      </c>
    </row>
    <row r="588" spans="54:59" x14ac:dyDescent="0.3">
      <c r="BB588">
        <v>1104</v>
      </c>
      <c r="BC588">
        <v>1092</v>
      </c>
      <c r="BD588">
        <v>1416</v>
      </c>
      <c r="BE588">
        <v>1134.7711999999999</v>
      </c>
      <c r="BF588">
        <v>1093.3334</v>
      </c>
      <c r="BG588">
        <v>1111.7973999999999</v>
      </c>
    </row>
    <row r="589" spans="54:59" x14ac:dyDescent="0.3">
      <c r="BB589">
        <v>1101</v>
      </c>
      <c r="BC589">
        <v>1093</v>
      </c>
      <c r="BD589">
        <v>1513</v>
      </c>
      <c r="BE589">
        <v>1130.5032000000001</v>
      </c>
      <c r="BF589">
        <v>1093.3604</v>
      </c>
      <c r="BG589">
        <v>1174.1088</v>
      </c>
    </row>
    <row r="590" spans="54:59" x14ac:dyDescent="0.3">
      <c r="BB590">
        <v>1101</v>
      </c>
      <c r="BC590">
        <v>1093</v>
      </c>
      <c r="BD590">
        <v>1600</v>
      </c>
      <c r="BE590">
        <v>1126.4573</v>
      </c>
      <c r="BF590">
        <v>1093.4122</v>
      </c>
      <c r="BG590">
        <v>1234.9431999999999</v>
      </c>
    </row>
    <row r="591" spans="54:59" x14ac:dyDescent="0.3">
      <c r="BB591">
        <v>1095</v>
      </c>
      <c r="BC591">
        <v>1093</v>
      </c>
      <c r="BD591">
        <v>1655</v>
      </c>
      <c r="BE591">
        <v>1122.6683</v>
      </c>
      <c r="BF591">
        <v>1093.4848</v>
      </c>
      <c r="BG591">
        <v>1293.5369000000001</v>
      </c>
    </row>
    <row r="592" spans="54:59" x14ac:dyDescent="0.3">
      <c r="BB592">
        <v>1095</v>
      </c>
      <c r="BC592">
        <v>1093</v>
      </c>
      <c r="BD592">
        <v>1708</v>
      </c>
      <c r="BE592">
        <v>1119.1619000000001</v>
      </c>
      <c r="BF592">
        <v>1093.5742</v>
      </c>
      <c r="BG592">
        <v>1349.2546</v>
      </c>
    </row>
    <row r="593" spans="54:59" x14ac:dyDescent="0.3">
      <c r="BB593">
        <v>1098</v>
      </c>
      <c r="BC593">
        <v>1094</v>
      </c>
      <c r="BD593">
        <v>1734</v>
      </c>
      <c r="BE593">
        <v>1115.9540999999999</v>
      </c>
      <c r="BF593">
        <v>1093.6765</v>
      </c>
      <c r="BG593">
        <v>1401.5925</v>
      </c>
    </row>
    <row r="594" spans="54:59" x14ac:dyDescent="0.3">
      <c r="BB594">
        <v>1097</v>
      </c>
      <c r="BC594">
        <v>1093</v>
      </c>
      <c r="BD594">
        <v>1739</v>
      </c>
      <c r="BE594">
        <v>1113.0527999999999</v>
      </c>
      <c r="BF594">
        <v>1093.7877000000001</v>
      </c>
      <c r="BG594">
        <v>1450.1769999999999</v>
      </c>
    </row>
    <row r="595" spans="54:59" x14ac:dyDescent="0.3">
      <c r="BB595">
        <v>1101</v>
      </c>
      <c r="BC595">
        <v>1095</v>
      </c>
      <c r="BD595">
        <v>1723</v>
      </c>
      <c r="BE595">
        <v>1110.4581000000001</v>
      </c>
      <c r="BF595">
        <v>1093.9041999999999</v>
      </c>
      <c r="BG595">
        <v>1494.7593999999999</v>
      </c>
    </row>
    <row r="596" spans="54:59" x14ac:dyDescent="0.3">
      <c r="BB596">
        <v>1108</v>
      </c>
      <c r="BC596">
        <v>1095</v>
      </c>
      <c r="BD596">
        <v>1695</v>
      </c>
      <c r="BE596">
        <v>1108.1636000000001</v>
      </c>
      <c r="BF596">
        <v>1094.0227</v>
      </c>
      <c r="BG596">
        <v>1535.2073</v>
      </c>
    </row>
    <row r="597" spans="54:59" x14ac:dyDescent="0.3">
      <c r="BB597">
        <v>1111</v>
      </c>
      <c r="BC597">
        <v>1095</v>
      </c>
      <c r="BD597">
        <v>1647</v>
      </c>
      <c r="BE597">
        <v>1106.1572000000001</v>
      </c>
      <c r="BF597">
        <v>1094.1401000000001</v>
      </c>
      <c r="BG597">
        <v>1571.4942000000001</v>
      </c>
    </row>
    <row r="598" spans="54:59" x14ac:dyDescent="0.3">
      <c r="BB598">
        <v>1118</v>
      </c>
      <c r="BC598">
        <v>1097</v>
      </c>
      <c r="BD598">
        <v>1594</v>
      </c>
      <c r="BE598">
        <v>1104.4226000000001</v>
      </c>
      <c r="BF598">
        <v>1094.2541000000001</v>
      </c>
      <c r="BG598">
        <v>1603.6857</v>
      </c>
    </row>
    <row r="599" spans="54:59" x14ac:dyDescent="0.3">
      <c r="BB599">
        <v>1126</v>
      </c>
      <c r="BC599">
        <v>1096</v>
      </c>
      <c r="BD599">
        <v>1524</v>
      </c>
      <c r="BE599">
        <v>1102.9401</v>
      </c>
      <c r="BF599">
        <v>1094.3625</v>
      </c>
      <c r="BG599">
        <v>1631.9255000000001</v>
      </c>
    </row>
    <row r="600" spans="54:59" x14ac:dyDescent="0.3">
      <c r="BB600">
        <v>1137</v>
      </c>
      <c r="BC600">
        <v>1098</v>
      </c>
      <c r="BD600">
        <v>1450</v>
      </c>
      <c r="BE600">
        <v>1101.6876999999999</v>
      </c>
      <c r="BF600">
        <v>1094.4637</v>
      </c>
      <c r="BG600">
        <v>1656.4205999999999</v>
      </c>
    </row>
    <row r="601" spans="54:59" x14ac:dyDescent="0.3">
      <c r="BB601">
        <v>1141</v>
      </c>
      <c r="BC601">
        <v>1097</v>
      </c>
      <c r="BD601">
        <v>1358</v>
      </c>
      <c r="BE601">
        <v>1100.6423</v>
      </c>
      <c r="BF601">
        <v>1094.5567000000001</v>
      </c>
      <c r="BG601">
        <v>1677.4264000000001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元皓 鄭</dc:creator>
  <cp:lastModifiedBy>元皓 鄭</cp:lastModifiedBy>
  <dcterms:created xsi:type="dcterms:W3CDTF">2026-01-14T05:18:05Z</dcterms:created>
  <dcterms:modified xsi:type="dcterms:W3CDTF">2026-01-21T01:55:30Z</dcterms:modified>
</cp:coreProperties>
</file>